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444FC945-1299-4F23-8289-A5267E061047}" xr6:coauthVersionLast="47" xr6:coauthVersionMax="47" xr10:uidLastSave="{00000000-0000-0000-0000-000000000000}"/>
  <bookViews>
    <workbookView xWindow="-120" yWindow="-120" windowWidth="29040" windowHeight="15720" xr2:uid="{91B902E0-A8F7-40B9-A886-E858863A8C51}"/>
  </bookViews>
  <sheets>
    <sheet name="Summary" sheetId="15" r:id="rId1"/>
    <sheet name="Portflio Assuptions" sheetId="16" r:id="rId2"/>
    <sheet name="Income - Stage 1" sheetId="3" r:id="rId3"/>
    <sheet name="Income - Stage 2" sheetId="4" r:id="rId4"/>
    <sheet name="Income - Stage 3" sheetId="5" r:id="rId5"/>
    <sheet name="Car - P1" sheetId="6" r:id="rId6"/>
    <sheet name="Car P2" sheetId="7" r:id="rId7"/>
    <sheet name="Carvan" sheetId="8" r:id="rId8"/>
    <sheet name="Boat" sheetId="9" r:id="rId9"/>
    <sheet name="Domestic Holidays" sheetId="10" r:id="rId10"/>
    <sheet name="International Holidays" sheetId="11" r:id="rId11"/>
    <sheet name="Travel to see Parents overseas" sheetId="14" r:id="rId12"/>
    <sheet name="Travel to see others" sheetId="13" r:id="rId13"/>
    <sheet name="Medical Expenses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5" l="1"/>
  <c r="C7" i="15"/>
  <c r="D111" i="11"/>
  <c r="D112" i="11" s="1"/>
  <c r="E109" i="11"/>
  <c r="F109" i="11" s="1"/>
  <c r="G109" i="11" s="1"/>
  <c r="H109" i="11" s="1"/>
  <c r="I109" i="11" s="1"/>
  <c r="J109" i="11" s="1"/>
  <c r="K109" i="11" s="1"/>
  <c r="L109" i="11" s="1"/>
  <c r="M109" i="11" s="1"/>
  <c r="D109" i="11"/>
  <c r="E108" i="11" s="1"/>
  <c r="E103" i="11"/>
  <c r="E99" i="11"/>
  <c r="F99" i="11" s="1"/>
  <c r="G99" i="11" s="1"/>
  <c r="H99" i="11" s="1"/>
  <c r="I99" i="11" s="1"/>
  <c r="J99" i="11" s="1"/>
  <c r="K99" i="11" s="1"/>
  <c r="L99" i="11" s="1"/>
  <c r="M99" i="11" s="1"/>
  <c r="D99" i="11"/>
  <c r="D93" i="11"/>
  <c r="E93" i="11" s="1"/>
  <c r="F93" i="11" s="1"/>
  <c r="G93" i="11" s="1"/>
  <c r="H93" i="11" s="1"/>
  <c r="I93" i="11" s="1"/>
  <c r="J93" i="11" s="1"/>
  <c r="K93" i="11" s="1"/>
  <c r="L93" i="11" s="1"/>
  <c r="M93" i="11" s="1"/>
  <c r="D92" i="11"/>
  <c r="E92" i="11" s="1"/>
  <c r="F92" i="11" s="1"/>
  <c r="G92" i="11" s="1"/>
  <c r="H92" i="11" s="1"/>
  <c r="I92" i="11" s="1"/>
  <c r="J92" i="11" s="1"/>
  <c r="K92" i="11" s="1"/>
  <c r="L92" i="11" s="1"/>
  <c r="M92" i="11" s="1"/>
  <c r="E91" i="11"/>
  <c r="F91" i="11" s="1"/>
  <c r="E90" i="11"/>
  <c r="F90" i="11" s="1"/>
  <c r="G90" i="11" s="1"/>
  <c r="H90" i="11" s="1"/>
  <c r="I90" i="11" s="1"/>
  <c r="J90" i="11" s="1"/>
  <c r="K90" i="11" s="1"/>
  <c r="L90" i="11" s="1"/>
  <c r="M90" i="11" s="1"/>
  <c r="D90" i="11"/>
  <c r="C88" i="11"/>
  <c r="D103" i="11" s="1"/>
  <c r="D104" i="11" s="1"/>
  <c r="C87" i="11"/>
  <c r="D97" i="11" s="1"/>
  <c r="E97" i="11" s="1"/>
  <c r="F97" i="11" s="1"/>
  <c r="G97" i="11" s="1"/>
  <c r="H97" i="11" s="1"/>
  <c r="I97" i="11" s="1"/>
  <c r="J97" i="11" s="1"/>
  <c r="K97" i="11" s="1"/>
  <c r="L97" i="11" s="1"/>
  <c r="M97" i="11" s="1"/>
  <c r="C85" i="11"/>
  <c r="C78" i="11"/>
  <c r="D67" i="11"/>
  <c r="D60" i="11"/>
  <c r="D59" i="11"/>
  <c r="E59" i="11" s="1"/>
  <c r="D57" i="11"/>
  <c r="E57" i="11" s="1"/>
  <c r="F57" i="11" s="1"/>
  <c r="G57" i="11" s="1"/>
  <c r="H57" i="11" s="1"/>
  <c r="I57" i="11" s="1"/>
  <c r="J57" i="11" s="1"/>
  <c r="K57" i="11" s="1"/>
  <c r="L57" i="11" s="1"/>
  <c r="M57" i="11" s="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X57" i="11" s="1"/>
  <c r="Y57" i="11" s="1"/>
  <c r="Z57" i="11" s="1"/>
  <c r="AA57" i="11" s="1"/>
  <c r="AB57" i="11" s="1"/>
  <c r="AC57" i="11" s="1"/>
  <c r="AD57" i="11" s="1"/>
  <c r="AE57" i="11" s="1"/>
  <c r="AF57" i="11" s="1"/>
  <c r="AG57" i="11" s="1"/>
  <c r="AH57" i="11" s="1"/>
  <c r="AI57" i="11" s="1"/>
  <c r="C43" i="11"/>
  <c r="C52" i="11" s="1"/>
  <c r="C54" i="11" s="1"/>
  <c r="D36" i="11"/>
  <c r="E36" i="11" s="1"/>
  <c r="D32" i="11"/>
  <c r="E32" i="11" s="1"/>
  <c r="F32" i="11" s="1"/>
  <c r="G32" i="11" s="1"/>
  <c r="H32" i="11" s="1"/>
  <c r="I32" i="11" s="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D30" i="11"/>
  <c r="E30" i="11" s="1"/>
  <c r="F30" i="11" s="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D25" i="1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O25" i="11" s="1"/>
  <c r="P25" i="11" s="1"/>
  <c r="Q25" i="11" s="1"/>
  <c r="R25" i="11" s="1"/>
  <c r="S25" i="11" s="1"/>
  <c r="T25" i="11" s="1"/>
  <c r="U25" i="11" s="1"/>
  <c r="V25" i="11" s="1"/>
  <c r="W25" i="11" s="1"/>
  <c r="X25" i="11" s="1"/>
  <c r="Y25" i="11" s="1"/>
  <c r="Z25" i="11" s="1"/>
  <c r="AA25" i="11" s="1"/>
  <c r="AB25" i="11" s="1"/>
  <c r="AC25" i="11" s="1"/>
  <c r="AD25" i="11" s="1"/>
  <c r="AE25" i="11" s="1"/>
  <c r="AF25" i="11" s="1"/>
  <c r="AG25" i="11" s="1"/>
  <c r="AH25" i="11" s="1"/>
  <c r="AI25" i="11" s="1"/>
  <c r="D24" i="11"/>
  <c r="E24" i="11" s="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Y24" i="11" s="1"/>
  <c r="Z24" i="11" s="1"/>
  <c r="AA24" i="11" s="1"/>
  <c r="AB24" i="11" s="1"/>
  <c r="AC24" i="11" s="1"/>
  <c r="AD24" i="11" s="1"/>
  <c r="AE24" i="11" s="1"/>
  <c r="AF24" i="11" s="1"/>
  <c r="AG24" i="11" s="1"/>
  <c r="AH24" i="11" s="1"/>
  <c r="AI24" i="11" s="1"/>
  <c r="C11" i="11"/>
  <c r="C8" i="11"/>
  <c r="C9" i="11" s="1"/>
  <c r="C5" i="11"/>
  <c r="C6" i="11" s="1"/>
  <c r="C3" i="11"/>
  <c r="C2" i="11"/>
  <c r="D23" i="11" s="1"/>
  <c r="C52" i="10"/>
  <c r="C54" i="10" s="1"/>
  <c r="C43" i="10"/>
  <c r="D111" i="10"/>
  <c r="D112" i="10" s="1"/>
  <c r="D109" i="10"/>
  <c r="E109" i="10" s="1"/>
  <c r="F109" i="10" s="1"/>
  <c r="G109" i="10" s="1"/>
  <c r="H109" i="10" s="1"/>
  <c r="I109" i="10" s="1"/>
  <c r="J109" i="10" s="1"/>
  <c r="K109" i="10" s="1"/>
  <c r="L109" i="10" s="1"/>
  <c r="M109" i="10" s="1"/>
  <c r="D99" i="10"/>
  <c r="E99" i="10" s="1"/>
  <c r="F99" i="10" s="1"/>
  <c r="G99" i="10" s="1"/>
  <c r="H99" i="10" s="1"/>
  <c r="I99" i="10" s="1"/>
  <c r="J99" i="10" s="1"/>
  <c r="K99" i="10" s="1"/>
  <c r="L99" i="10" s="1"/>
  <c r="M99" i="10" s="1"/>
  <c r="D93" i="10"/>
  <c r="E93" i="10" s="1"/>
  <c r="F93" i="10" s="1"/>
  <c r="G93" i="10" s="1"/>
  <c r="H93" i="10" s="1"/>
  <c r="I93" i="10" s="1"/>
  <c r="J93" i="10" s="1"/>
  <c r="K93" i="10" s="1"/>
  <c r="L93" i="10" s="1"/>
  <c r="M93" i="10" s="1"/>
  <c r="D92" i="10"/>
  <c r="E92" i="10" s="1"/>
  <c r="F92" i="10" s="1"/>
  <c r="G92" i="10" s="1"/>
  <c r="H92" i="10" s="1"/>
  <c r="I92" i="10" s="1"/>
  <c r="J92" i="10" s="1"/>
  <c r="K92" i="10" s="1"/>
  <c r="L92" i="10" s="1"/>
  <c r="M92" i="10" s="1"/>
  <c r="E91" i="10"/>
  <c r="F91" i="10" s="1"/>
  <c r="D90" i="10"/>
  <c r="E90" i="10" s="1"/>
  <c r="F90" i="10" s="1"/>
  <c r="G90" i="10" s="1"/>
  <c r="H90" i="10" s="1"/>
  <c r="I90" i="10" s="1"/>
  <c r="J90" i="10" s="1"/>
  <c r="K90" i="10" s="1"/>
  <c r="L90" i="10" s="1"/>
  <c r="M90" i="10" s="1"/>
  <c r="C88" i="10"/>
  <c r="D103" i="10" s="1"/>
  <c r="C87" i="10"/>
  <c r="D97" i="10" s="1"/>
  <c r="D98" i="10" s="1"/>
  <c r="C85" i="10"/>
  <c r="C78" i="10"/>
  <c r="D67" i="10"/>
  <c r="D59" i="10"/>
  <c r="E59" i="10" s="1"/>
  <c r="D57" i="10"/>
  <c r="E57" i="10" s="1"/>
  <c r="F57" i="10" s="1"/>
  <c r="G57" i="10" s="1"/>
  <c r="H57" i="10" s="1"/>
  <c r="I57" i="10" s="1"/>
  <c r="J57" i="10" s="1"/>
  <c r="K57" i="10" s="1"/>
  <c r="L57" i="10" s="1"/>
  <c r="M57" i="10" s="1"/>
  <c r="N57" i="10" s="1"/>
  <c r="O57" i="10" s="1"/>
  <c r="P57" i="10" s="1"/>
  <c r="Q57" i="10" s="1"/>
  <c r="R57" i="10" s="1"/>
  <c r="S57" i="10" s="1"/>
  <c r="T57" i="10" s="1"/>
  <c r="U57" i="10" s="1"/>
  <c r="V57" i="10" s="1"/>
  <c r="W57" i="10" s="1"/>
  <c r="X57" i="10" s="1"/>
  <c r="Y57" i="10" s="1"/>
  <c r="Z57" i="10" s="1"/>
  <c r="AA57" i="10" s="1"/>
  <c r="AB57" i="10" s="1"/>
  <c r="AC57" i="10" s="1"/>
  <c r="AD57" i="10" s="1"/>
  <c r="AE57" i="10" s="1"/>
  <c r="AF57" i="10" s="1"/>
  <c r="AG57" i="10" s="1"/>
  <c r="AH57" i="10" s="1"/>
  <c r="AI57" i="10" s="1"/>
  <c r="D36" i="10"/>
  <c r="D37" i="10" s="1"/>
  <c r="D32" i="10"/>
  <c r="E32" i="10" s="1"/>
  <c r="F32" i="10" s="1"/>
  <c r="G32" i="10" s="1"/>
  <c r="H32" i="10" s="1"/>
  <c r="I32" i="10" s="1"/>
  <c r="J32" i="10" s="1"/>
  <c r="K32" i="10" s="1"/>
  <c r="L32" i="10" s="1"/>
  <c r="M32" i="10" s="1"/>
  <c r="N32" i="10" s="1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Z32" i="10" s="1"/>
  <c r="AA32" i="10" s="1"/>
  <c r="AB32" i="10" s="1"/>
  <c r="AC32" i="10" s="1"/>
  <c r="AD32" i="10" s="1"/>
  <c r="AE32" i="10" s="1"/>
  <c r="AF32" i="10" s="1"/>
  <c r="AG32" i="10" s="1"/>
  <c r="AH32" i="10" s="1"/>
  <c r="AI32" i="10" s="1"/>
  <c r="D30" i="10"/>
  <c r="D31" i="10" s="1"/>
  <c r="C11" i="10"/>
  <c r="C12" i="10" s="1"/>
  <c r="C8" i="10"/>
  <c r="C9" i="10" s="1"/>
  <c r="C3" i="10"/>
  <c r="D24" i="10" s="1"/>
  <c r="E24" i="10" s="1"/>
  <c r="F24" i="10" s="1"/>
  <c r="G24" i="10" s="1"/>
  <c r="H24" i="10" s="1"/>
  <c r="I24" i="10" s="1"/>
  <c r="J24" i="10" s="1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Y24" i="10" s="1"/>
  <c r="Z24" i="10" s="1"/>
  <c r="AA24" i="10" s="1"/>
  <c r="AB24" i="10" s="1"/>
  <c r="AC24" i="10" s="1"/>
  <c r="AD24" i="10" s="1"/>
  <c r="AE24" i="10" s="1"/>
  <c r="AF24" i="10" s="1"/>
  <c r="AG24" i="10" s="1"/>
  <c r="AH24" i="10" s="1"/>
  <c r="AI24" i="10" s="1"/>
  <c r="C2" i="10"/>
  <c r="C5" i="10" s="1"/>
  <c r="D5" i="15"/>
  <c r="C17" i="15"/>
  <c r="D6" i="15" s="1"/>
  <c r="C5" i="15"/>
  <c r="C4" i="15"/>
  <c r="C11" i="15"/>
  <c r="C12" i="15"/>
  <c r="C13" i="15"/>
  <c r="D105" i="8"/>
  <c r="D106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D97" i="8"/>
  <c r="D93" i="8"/>
  <c r="E93" i="8" s="1"/>
  <c r="F93" i="8" s="1"/>
  <c r="G93" i="8" s="1"/>
  <c r="H93" i="8" s="1"/>
  <c r="I93" i="8" s="1"/>
  <c r="J93" i="8" s="1"/>
  <c r="K93" i="8" s="1"/>
  <c r="L93" i="8" s="1"/>
  <c r="M9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F85" i="8"/>
  <c r="E85" i="8"/>
  <c r="D84" i="8"/>
  <c r="E84" i="8" s="1"/>
  <c r="F84" i="8" s="1"/>
  <c r="G84" i="8" s="1"/>
  <c r="H84" i="8" s="1"/>
  <c r="I84" i="8" s="1"/>
  <c r="J84" i="8" s="1"/>
  <c r="K84" i="8" s="1"/>
  <c r="L84" i="8" s="1"/>
  <c r="M84" i="8" s="1"/>
  <c r="C82" i="8"/>
  <c r="C81" i="8"/>
  <c r="D91" i="8" s="1"/>
  <c r="C79" i="8"/>
  <c r="C72" i="8"/>
  <c r="D61" i="8"/>
  <c r="D53" i="8"/>
  <c r="E53" i="8" s="1"/>
  <c r="F51" i="8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D51" i="8"/>
  <c r="E51" i="8" s="1"/>
  <c r="C48" i="8"/>
  <c r="D36" i="8"/>
  <c r="D37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AH32" i="8" s="1"/>
  <c r="AI32" i="8" s="1"/>
  <c r="D30" i="8"/>
  <c r="D31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C11" i="8"/>
  <c r="D26" i="8" s="1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AH26" i="8" s="1"/>
  <c r="AI26" i="8" s="1"/>
  <c r="C8" i="8"/>
  <c r="D25" i="8" s="1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I25" i="8" s="1"/>
  <c r="C5" i="8"/>
  <c r="D108" i="8" s="1"/>
  <c r="C3" i="8"/>
  <c r="C2" i="8"/>
  <c r="D23" i="8" s="1"/>
  <c r="D106" i="6"/>
  <c r="D105" i="6"/>
  <c r="E105" i="6" s="1"/>
  <c r="D103" i="6"/>
  <c r="D97" i="6"/>
  <c r="D93" i="6"/>
  <c r="E93" i="6" s="1"/>
  <c r="F93" i="6" s="1"/>
  <c r="G93" i="6" s="1"/>
  <c r="H93" i="6" s="1"/>
  <c r="I93" i="6" s="1"/>
  <c r="J93" i="6" s="1"/>
  <c r="K93" i="6" s="1"/>
  <c r="L93" i="6" s="1"/>
  <c r="M93" i="6" s="1"/>
  <c r="D92" i="6"/>
  <c r="H91" i="6"/>
  <c r="I91" i="6" s="1"/>
  <c r="J91" i="6" s="1"/>
  <c r="K91" i="6" s="1"/>
  <c r="L91" i="6" s="1"/>
  <c r="M91" i="6" s="1"/>
  <c r="E91" i="6"/>
  <c r="F91" i="6" s="1"/>
  <c r="G91" i="6" s="1"/>
  <c r="D91" i="6"/>
  <c r="I87" i="6"/>
  <c r="J87" i="6" s="1"/>
  <c r="K87" i="6" s="1"/>
  <c r="L87" i="6" s="1"/>
  <c r="M87" i="6" s="1"/>
  <c r="D87" i="6"/>
  <c r="E87" i="6" s="1"/>
  <c r="F87" i="6" s="1"/>
  <c r="G87" i="6" s="1"/>
  <c r="H87" i="6" s="1"/>
  <c r="E86" i="6"/>
  <c r="F86" i="6" s="1"/>
  <c r="G86" i="6" s="1"/>
  <c r="H86" i="6" s="1"/>
  <c r="I86" i="6" s="1"/>
  <c r="J86" i="6" s="1"/>
  <c r="K86" i="6" s="1"/>
  <c r="L86" i="6" s="1"/>
  <c r="M86" i="6" s="1"/>
  <c r="D86" i="6"/>
  <c r="E85" i="6"/>
  <c r="M84" i="6"/>
  <c r="E84" i="6"/>
  <c r="F84" i="6" s="1"/>
  <c r="G84" i="6" s="1"/>
  <c r="H84" i="6" s="1"/>
  <c r="I84" i="6" s="1"/>
  <c r="J84" i="6" s="1"/>
  <c r="K84" i="6" s="1"/>
  <c r="L84" i="6" s="1"/>
  <c r="D84" i="6"/>
  <c r="C82" i="6"/>
  <c r="C81" i="6"/>
  <c r="C79" i="6"/>
  <c r="C72" i="6"/>
  <c r="D61" i="6"/>
  <c r="D54" i="6"/>
  <c r="D53" i="6"/>
  <c r="E53" i="6" s="1"/>
  <c r="D51" i="6"/>
  <c r="E51" i="6" s="1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C48" i="6"/>
  <c r="E36" i="6"/>
  <c r="D36" i="6"/>
  <c r="D37" i="6" s="1"/>
  <c r="D32" i="6"/>
  <c r="E32" i="6" s="1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F30" i="6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AG30" i="6" s="1"/>
  <c r="AH30" i="6" s="1"/>
  <c r="AI30" i="6" s="1"/>
  <c r="E30" i="6"/>
  <c r="D30" i="6"/>
  <c r="D31" i="6" s="1"/>
  <c r="E26" i="6"/>
  <c r="F26" i="6" s="1"/>
  <c r="G26" i="6" s="1"/>
  <c r="H26" i="6" s="1"/>
  <c r="I26" i="6" s="1"/>
  <c r="J26" i="6" s="1"/>
  <c r="K26" i="6" s="1"/>
  <c r="L26" i="6" s="1"/>
  <c r="M26" i="6" s="1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E25" i="6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E23" i="6"/>
  <c r="C11" i="6"/>
  <c r="D26" i="6" s="1"/>
  <c r="C9" i="6"/>
  <c r="C8" i="6"/>
  <c r="D25" i="6" s="1"/>
  <c r="C5" i="6"/>
  <c r="C6" i="6" s="1"/>
  <c r="D48" i="6" s="1"/>
  <c r="D50" i="6" s="1"/>
  <c r="C3" i="6"/>
  <c r="D24" i="6" s="1"/>
  <c r="C2" i="6"/>
  <c r="D23" i="6" s="1"/>
  <c r="E48" i="7"/>
  <c r="F48" i="7"/>
  <c r="G48" i="7"/>
  <c r="H48" i="7" s="1"/>
  <c r="I48" i="7" s="1"/>
  <c r="J48" i="7" s="1"/>
  <c r="K48" i="7" s="1"/>
  <c r="L48" i="7" s="1"/>
  <c r="M48" i="7" s="1"/>
  <c r="N48" i="7" s="1"/>
  <c r="O48" i="7" s="1"/>
  <c r="P48" i="7" s="1"/>
  <c r="Q48" i="7" s="1"/>
  <c r="R48" i="7" s="1"/>
  <c r="S48" i="7" s="1"/>
  <c r="T48" i="7" s="1"/>
  <c r="U48" i="7" s="1"/>
  <c r="V48" i="7" s="1"/>
  <c r="W48" i="7" s="1"/>
  <c r="X48" i="7"/>
  <c r="Y48" i="7"/>
  <c r="Z48" i="7"/>
  <c r="AA48" i="7"/>
  <c r="AB48" i="7"/>
  <c r="AC48" i="7"/>
  <c r="AD48" i="7"/>
  <c r="AD50" i="7" s="1"/>
  <c r="AE48" i="7"/>
  <c r="AE50" i="7" s="1"/>
  <c r="AF48" i="7"/>
  <c r="AG48" i="7"/>
  <c r="AH48" i="7"/>
  <c r="AH50" i="7" s="1"/>
  <c r="AI48" i="7"/>
  <c r="D48" i="7"/>
  <c r="AF50" i="7"/>
  <c r="AG50" i="7"/>
  <c r="AI50" i="7"/>
  <c r="D50" i="7"/>
  <c r="D106" i="7"/>
  <c r="G105" i="7"/>
  <c r="D105" i="7"/>
  <c r="E105" i="7" s="1"/>
  <c r="F105" i="7" s="1"/>
  <c r="I103" i="7"/>
  <c r="J103" i="7" s="1"/>
  <c r="K103" i="7" s="1"/>
  <c r="L103" i="7" s="1"/>
  <c r="M103" i="7" s="1"/>
  <c r="D103" i="7"/>
  <c r="E103" i="7" s="1"/>
  <c r="F103" i="7" s="1"/>
  <c r="G103" i="7" s="1"/>
  <c r="H103" i="7" s="1"/>
  <c r="D97" i="7"/>
  <c r="D93" i="7"/>
  <c r="E93" i="7" s="1"/>
  <c r="F93" i="7" s="1"/>
  <c r="G93" i="7" s="1"/>
  <c r="H93" i="7" s="1"/>
  <c r="I93" i="7" s="1"/>
  <c r="J93" i="7" s="1"/>
  <c r="K93" i="7" s="1"/>
  <c r="L93" i="7" s="1"/>
  <c r="M93" i="7" s="1"/>
  <c r="E91" i="7"/>
  <c r="F91" i="7" s="1"/>
  <c r="G91" i="7" s="1"/>
  <c r="H91" i="7" s="1"/>
  <c r="I91" i="7" s="1"/>
  <c r="J91" i="7" s="1"/>
  <c r="K91" i="7" s="1"/>
  <c r="L91" i="7" s="1"/>
  <c r="M91" i="7" s="1"/>
  <c r="D91" i="7"/>
  <c r="D92" i="7" s="1"/>
  <c r="G87" i="7"/>
  <c r="H87" i="7" s="1"/>
  <c r="I87" i="7" s="1"/>
  <c r="J87" i="7" s="1"/>
  <c r="K87" i="7" s="1"/>
  <c r="L87" i="7" s="1"/>
  <c r="M87" i="7" s="1"/>
  <c r="E87" i="7"/>
  <c r="F87" i="7" s="1"/>
  <c r="D87" i="7"/>
  <c r="E86" i="7"/>
  <c r="F86" i="7" s="1"/>
  <c r="G86" i="7" s="1"/>
  <c r="H86" i="7" s="1"/>
  <c r="I86" i="7" s="1"/>
  <c r="J86" i="7" s="1"/>
  <c r="K86" i="7" s="1"/>
  <c r="L86" i="7" s="1"/>
  <c r="M86" i="7" s="1"/>
  <c r="D86" i="7"/>
  <c r="F85" i="7"/>
  <c r="E85" i="7"/>
  <c r="H84" i="7"/>
  <c r="I84" i="7" s="1"/>
  <c r="J84" i="7" s="1"/>
  <c r="K84" i="7" s="1"/>
  <c r="L84" i="7" s="1"/>
  <c r="M84" i="7" s="1"/>
  <c r="E84" i="7"/>
  <c r="F84" i="7" s="1"/>
  <c r="G84" i="7" s="1"/>
  <c r="D84" i="7"/>
  <c r="C82" i="7"/>
  <c r="C81" i="7"/>
  <c r="C79" i="7"/>
  <c r="C72" i="7"/>
  <c r="D61" i="7"/>
  <c r="F53" i="7"/>
  <c r="D53" i="7"/>
  <c r="E53" i="7" s="1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I51" i="7" s="1"/>
  <c r="C48" i="7"/>
  <c r="E36" i="7"/>
  <c r="D36" i="7"/>
  <c r="D37" i="7" s="1"/>
  <c r="F32" i="7"/>
  <c r="G32" i="7" s="1"/>
  <c r="H32" i="7" s="1"/>
  <c r="I32" i="7" s="1"/>
  <c r="J32" i="7" s="1"/>
  <c r="K32" i="7" s="1"/>
  <c r="L32" i="7" s="1"/>
  <c r="M32" i="7" s="1"/>
  <c r="N32" i="7" s="1"/>
  <c r="O32" i="7" s="1"/>
  <c r="P32" i="7" s="1"/>
  <c r="Q32" i="7" s="1"/>
  <c r="R32" i="7" s="1"/>
  <c r="S32" i="7" s="1"/>
  <c r="T32" i="7" s="1"/>
  <c r="U32" i="7" s="1"/>
  <c r="V32" i="7" s="1"/>
  <c r="W32" i="7" s="1"/>
  <c r="X32" i="7" s="1"/>
  <c r="Y32" i="7" s="1"/>
  <c r="Z32" i="7" s="1"/>
  <c r="AA32" i="7" s="1"/>
  <c r="AB32" i="7" s="1"/>
  <c r="AC32" i="7" s="1"/>
  <c r="AD32" i="7" s="1"/>
  <c r="AE32" i="7" s="1"/>
  <c r="AF32" i="7" s="1"/>
  <c r="AG32" i="7" s="1"/>
  <c r="AH32" i="7" s="1"/>
  <c r="AI32" i="7" s="1"/>
  <c r="E32" i="7"/>
  <c r="D32" i="7"/>
  <c r="E30" i="7"/>
  <c r="F30" i="7" s="1"/>
  <c r="G30" i="7" s="1"/>
  <c r="H30" i="7" s="1"/>
  <c r="I30" i="7" s="1"/>
  <c r="J30" i="7" s="1"/>
  <c r="K30" i="7" s="1"/>
  <c r="L30" i="7" s="1"/>
  <c r="M30" i="7" s="1"/>
  <c r="N30" i="7" s="1"/>
  <c r="O30" i="7" s="1"/>
  <c r="P30" i="7" s="1"/>
  <c r="Q30" i="7" s="1"/>
  <c r="R30" i="7" s="1"/>
  <c r="S30" i="7" s="1"/>
  <c r="T30" i="7" s="1"/>
  <c r="U30" i="7" s="1"/>
  <c r="V30" i="7" s="1"/>
  <c r="W30" i="7" s="1"/>
  <c r="X30" i="7" s="1"/>
  <c r="Y30" i="7" s="1"/>
  <c r="Z30" i="7" s="1"/>
  <c r="AA30" i="7" s="1"/>
  <c r="AB30" i="7" s="1"/>
  <c r="AC30" i="7" s="1"/>
  <c r="AD30" i="7" s="1"/>
  <c r="AE30" i="7" s="1"/>
  <c r="AF30" i="7" s="1"/>
  <c r="AG30" i="7" s="1"/>
  <c r="AH30" i="7" s="1"/>
  <c r="AI30" i="7" s="1"/>
  <c r="D30" i="7"/>
  <c r="D31" i="7" s="1"/>
  <c r="D25" i="7"/>
  <c r="E25" i="7" s="1"/>
  <c r="F25" i="7" s="1"/>
  <c r="G25" i="7" s="1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D24" i="7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D23" i="7"/>
  <c r="C11" i="7"/>
  <c r="C12" i="7" s="1"/>
  <c r="C9" i="7"/>
  <c r="C8" i="7"/>
  <c r="C6" i="7"/>
  <c r="C3" i="7"/>
  <c r="C2" i="7"/>
  <c r="C5" i="7" s="1"/>
  <c r="D108" i="7" s="1"/>
  <c r="C116" i="3"/>
  <c r="C119" i="3"/>
  <c r="C118" i="3"/>
  <c r="D142" i="3"/>
  <c r="D143" i="3" s="1"/>
  <c r="D140" i="3"/>
  <c r="E140" i="3" s="1"/>
  <c r="F140" i="3" s="1"/>
  <c r="G140" i="3" s="1"/>
  <c r="H140" i="3" s="1"/>
  <c r="I140" i="3" s="1"/>
  <c r="J140" i="3" s="1"/>
  <c r="K140" i="3" s="1"/>
  <c r="L140" i="3" s="1"/>
  <c r="M140" i="3" s="1"/>
  <c r="E139" i="3"/>
  <c r="D134" i="3"/>
  <c r="D135" i="3" s="1"/>
  <c r="D130" i="3"/>
  <c r="E130" i="3" s="1"/>
  <c r="F130" i="3" s="1"/>
  <c r="G130" i="3" s="1"/>
  <c r="H130" i="3" s="1"/>
  <c r="I130" i="3" s="1"/>
  <c r="J130" i="3" s="1"/>
  <c r="K130" i="3" s="1"/>
  <c r="L130" i="3" s="1"/>
  <c r="M130" i="3" s="1"/>
  <c r="D128" i="3"/>
  <c r="D129" i="3" s="1"/>
  <c r="D124" i="3"/>
  <c r="E124" i="3" s="1"/>
  <c r="F124" i="3" s="1"/>
  <c r="G124" i="3" s="1"/>
  <c r="H124" i="3" s="1"/>
  <c r="I124" i="3" s="1"/>
  <c r="J124" i="3" s="1"/>
  <c r="K124" i="3" s="1"/>
  <c r="L124" i="3" s="1"/>
  <c r="M124" i="3" s="1"/>
  <c r="D123" i="3"/>
  <c r="E123" i="3" s="1"/>
  <c r="F123" i="3" s="1"/>
  <c r="G123" i="3" s="1"/>
  <c r="H123" i="3" s="1"/>
  <c r="I123" i="3" s="1"/>
  <c r="J123" i="3" s="1"/>
  <c r="K123" i="3" s="1"/>
  <c r="L123" i="3" s="1"/>
  <c r="M123" i="3" s="1"/>
  <c r="F122" i="3"/>
  <c r="G122" i="3" s="1"/>
  <c r="E122" i="3"/>
  <c r="D121" i="3"/>
  <c r="E121" i="3" s="1"/>
  <c r="F121" i="3" s="1"/>
  <c r="G121" i="3" s="1"/>
  <c r="H121" i="3" s="1"/>
  <c r="I121" i="3" s="1"/>
  <c r="J121" i="3" s="1"/>
  <c r="K121" i="3" s="1"/>
  <c r="L121" i="3" s="1"/>
  <c r="M121" i="3" s="1"/>
  <c r="C109" i="3"/>
  <c r="D98" i="3"/>
  <c r="C48" i="3"/>
  <c r="C49" i="3" s="1"/>
  <c r="D70" i="3" s="1"/>
  <c r="E70" i="3" s="1"/>
  <c r="F70" i="3" s="1"/>
  <c r="C6" i="3"/>
  <c r="C57" i="3"/>
  <c r="D72" i="3" s="1"/>
  <c r="E72" i="3" s="1"/>
  <c r="F72" i="3" s="1"/>
  <c r="G72" i="3" s="1"/>
  <c r="H72" i="3" s="1"/>
  <c r="I72" i="3" s="1"/>
  <c r="J72" i="3" s="1"/>
  <c r="K72" i="3" s="1"/>
  <c r="L72" i="3" s="1"/>
  <c r="M72" i="3" s="1"/>
  <c r="N72" i="3" s="1"/>
  <c r="O72" i="3" s="1"/>
  <c r="P72" i="3" s="1"/>
  <c r="Q72" i="3" s="1"/>
  <c r="R72" i="3" s="1"/>
  <c r="S72" i="3" s="1"/>
  <c r="T72" i="3" s="1"/>
  <c r="C54" i="3"/>
  <c r="D71" i="3" s="1"/>
  <c r="E71" i="3" s="1"/>
  <c r="F71" i="3" s="1"/>
  <c r="G71" i="3" s="1"/>
  <c r="H71" i="3" s="1"/>
  <c r="I71" i="3" s="1"/>
  <c r="J71" i="3" s="1"/>
  <c r="K71" i="3" s="1"/>
  <c r="L71" i="3" s="1"/>
  <c r="M71" i="3" s="1"/>
  <c r="N71" i="3" s="1"/>
  <c r="O71" i="3" s="1"/>
  <c r="P71" i="3" s="1"/>
  <c r="Q71" i="3" s="1"/>
  <c r="R71" i="3" s="1"/>
  <c r="S71" i="3" s="1"/>
  <c r="T71" i="3" s="1"/>
  <c r="D90" i="3"/>
  <c r="D91" i="3" s="1"/>
  <c r="D88" i="3"/>
  <c r="E88" i="3" s="1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P88" i="3" s="1"/>
  <c r="Q88" i="3" s="1"/>
  <c r="R88" i="3" s="1"/>
  <c r="S88" i="3" s="1"/>
  <c r="T88" i="3" s="1"/>
  <c r="D82" i="3"/>
  <c r="D83" i="3" s="1"/>
  <c r="D78" i="3"/>
  <c r="E78" i="3" s="1"/>
  <c r="F78" i="3" s="1"/>
  <c r="G78" i="3" s="1"/>
  <c r="H78" i="3" s="1"/>
  <c r="I78" i="3" s="1"/>
  <c r="J78" i="3" s="1"/>
  <c r="K78" i="3" s="1"/>
  <c r="L78" i="3" s="1"/>
  <c r="M78" i="3" s="1"/>
  <c r="N78" i="3" s="1"/>
  <c r="O78" i="3" s="1"/>
  <c r="P78" i="3" s="1"/>
  <c r="Q78" i="3" s="1"/>
  <c r="R78" i="3" s="1"/>
  <c r="S78" i="3" s="1"/>
  <c r="T78" i="3" s="1"/>
  <c r="D76" i="3"/>
  <c r="D77" i="3" s="1"/>
  <c r="D18" i="3"/>
  <c r="E18" i="3" s="1"/>
  <c r="F18" i="3" s="1"/>
  <c r="G18" i="3" s="1"/>
  <c r="H18" i="3" s="1"/>
  <c r="I18" i="3" s="1"/>
  <c r="J18" i="3" s="1"/>
  <c r="K18" i="3" s="1"/>
  <c r="L18" i="3" s="1"/>
  <c r="M18" i="3" s="1"/>
  <c r="D39" i="3"/>
  <c r="E39" i="3" s="1"/>
  <c r="D37" i="3"/>
  <c r="E37" i="3" s="1"/>
  <c r="F37" i="3" s="1"/>
  <c r="G37" i="3" s="1"/>
  <c r="H37" i="3" s="1"/>
  <c r="I37" i="3" s="1"/>
  <c r="J37" i="3" s="1"/>
  <c r="K37" i="3" s="1"/>
  <c r="L37" i="3" s="1"/>
  <c r="M37" i="3" s="1"/>
  <c r="D31" i="3"/>
  <c r="D32" i="3" s="1"/>
  <c r="D27" i="3"/>
  <c r="E27" i="3" s="1"/>
  <c r="F27" i="3" s="1"/>
  <c r="G27" i="3" s="1"/>
  <c r="H27" i="3" s="1"/>
  <c r="I27" i="3" s="1"/>
  <c r="J27" i="3" s="1"/>
  <c r="K27" i="3" s="1"/>
  <c r="L27" i="3" s="1"/>
  <c r="M27" i="3" s="1"/>
  <c r="D25" i="3"/>
  <c r="D26" i="3" s="1"/>
  <c r="D21" i="3"/>
  <c r="E21" i="3" s="1"/>
  <c r="F21" i="3" s="1"/>
  <c r="G21" i="3" s="1"/>
  <c r="H21" i="3" s="1"/>
  <c r="I21" i="3" s="1"/>
  <c r="D20" i="3"/>
  <c r="E20" i="3" s="1"/>
  <c r="F20" i="3" s="1"/>
  <c r="G20" i="3" s="1"/>
  <c r="H20" i="3" s="1"/>
  <c r="I20" i="3" s="1"/>
  <c r="D13" i="15" l="1"/>
  <c r="D12" i="15"/>
  <c r="D11" i="15"/>
  <c r="D10" i="15"/>
  <c r="D9" i="15"/>
  <c r="D8" i="15"/>
  <c r="D7" i="15"/>
  <c r="D4" i="15"/>
  <c r="D66" i="11"/>
  <c r="D62" i="11"/>
  <c r="D54" i="11"/>
  <c r="E23" i="11"/>
  <c r="C12" i="11"/>
  <c r="D26" i="11"/>
  <c r="E26" i="11" s="1"/>
  <c r="F26" i="11" s="1"/>
  <c r="G26" i="11" s="1"/>
  <c r="H26" i="11" s="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Y26" i="11" s="1"/>
  <c r="Z26" i="11" s="1"/>
  <c r="AA26" i="11" s="1"/>
  <c r="AB26" i="11" s="1"/>
  <c r="AC26" i="11" s="1"/>
  <c r="AD26" i="11" s="1"/>
  <c r="AE26" i="11" s="1"/>
  <c r="AF26" i="11" s="1"/>
  <c r="AG26" i="11" s="1"/>
  <c r="AH26" i="11" s="1"/>
  <c r="AI26" i="11" s="1"/>
  <c r="F59" i="11"/>
  <c r="F36" i="11"/>
  <c r="D98" i="11"/>
  <c r="F108" i="11"/>
  <c r="G108" i="11" s="1"/>
  <c r="H108" i="11" s="1"/>
  <c r="I108" i="11" s="1"/>
  <c r="J108" i="11" s="1"/>
  <c r="K108" i="11" s="1"/>
  <c r="L108" i="11" s="1"/>
  <c r="M108" i="11" s="1"/>
  <c r="G91" i="11"/>
  <c r="F103" i="11"/>
  <c r="D114" i="11"/>
  <c r="D31" i="11"/>
  <c r="D37" i="11"/>
  <c r="E111" i="11"/>
  <c r="D100" i="10"/>
  <c r="D101" i="10" s="1"/>
  <c r="D26" i="10"/>
  <c r="E26" i="10" s="1"/>
  <c r="F26" i="10" s="1"/>
  <c r="G26" i="10" s="1"/>
  <c r="H26" i="10" s="1"/>
  <c r="I26" i="10" s="1"/>
  <c r="J26" i="10" s="1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Y26" i="10" s="1"/>
  <c r="Z26" i="10" s="1"/>
  <c r="AA26" i="10" s="1"/>
  <c r="AB26" i="10" s="1"/>
  <c r="AC26" i="10" s="1"/>
  <c r="AD26" i="10" s="1"/>
  <c r="AE26" i="10" s="1"/>
  <c r="AF26" i="10" s="1"/>
  <c r="AG26" i="10" s="1"/>
  <c r="AH26" i="10" s="1"/>
  <c r="AI26" i="10" s="1"/>
  <c r="D25" i="10"/>
  <c r="E25" i="10" s="1"/>
  <c r="F25" i="10" s="1"/>
  <c r="G25" i="10" s="1"/>
  <c r="H25" i="10" s="1"/>
  <c r="I25" i="10" s="1"/>
  <c r="J25" i="10" s="1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Y25" i="10" s="1"/>
  <c r="Z25" i="10" s="1"/>
  <c r="AA25" i="10" s="1"/>
  <c r="AB25" i="10" s="1"/>
  <c r="AC25" i="10" s="1"/>
  <c r="AD25" i="10" s="1"/>
  <c r="AE25" i="10" s="1"/>
  <c r="AF25" i="10" s="1"/>
  <c r="AG25" i="10" s="1"/>
  <c r="AH25" i="10" s="1"/>
  <c r="AI25" i="10" s="1"/>
  <c r="E108" i="10"/>
  <c r="F108" i="10" s="1"/>
  <c r="G108" i="10" s="1"/>
  <c r="H108" i="10" s="1"/>
  <c r="I108" i="10" s="1"/>
  <c r="J108" i="10" s="1"/>
  <c r="K108" i="10" s="1"/>
  <c r="L108" i="10" s="1"/>
  <c r="M108" i="10" s="1"/>
  <c r="E36" i="10"/>
  <c r="F36" i="10" s="1"/>
  <c r="G36" i="10" s="1"/>
  <c r="H36" i="10" s="1"/>
  <c r="I36" i="10" s="1"/>
  <c r="E30" i="10"/>
  <c r="F30" i="10" s="1"/>
  <c r="G30" i="10" s="1"/>
  <c r="H30" i="10" s="1"/>
  <c r="I30" i="10" s="1"/>
  <c r="J30" i="10" s="1"/>
  <c r="K30" i="10" s="1"/>
  <c r="L30" i="10" s="1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Y30" i="10" s="1"/>
  <c r="Z30" i="10" s="1"/>
  <c r="AA30" i="10" s="1"/>
  <c r="AB30" i="10" s="1"/>
  <c r="AC30" i="10" s="1"/>
  <c r="AD30" i="10" s="1"/>
  <c r="AE30" i="10" s="1"/>
  <c r="AF30" i="10" s="1"/>
  <c r="AG30" i="10" s="1"/>
  <c r="AH30" i="10" s="1"/>
  <c r="AI30" i="10" s="1"/>
  <c r="D23" i="10"/>
  <c r="D66" i="10" s="1"/>
  <c r="D114" i="10"/>
  <c r="C6" i="10"/>
  <c r="D104" i="10"/>
  <c r="E103" i="10"/>
  <c r="E97" i="10"/>
  <c r="F97" i="10" s="1"/>
  <c r="G97" i="10" s="1"/>
  <c r="H97" i="10" s="1"/>
  <c r="I97" i="10" s="1"/>
  <c r="J97" i="10" s="1"/>
  <c r="K97" i="10" s="1"/>
  <c r="L97" i="10" s="1"/>
  <c r="M97" i="10" s="1"/>
  <c r="D60" i="10"/>
  <c r="D33" i="10"/>
  <c r="D34" i="10" s="1"/>
  <c r="D39" i="10" s="1"/>
  <c r="F59" i="10"/>
  <c r="G91" i="10"/>
  <c r="E111" i="10"/>
  <c r="D60" i="8"/>
  <c r="D56" i="8"/>
  <c r="E23" i="8"/>
  <c r="D98" i="8"/>
  <c r="E97" i="8"/>
  <c r="C6" i="8"/>
  <c r="D48" i="8" s="1"/>
  <c r="D50" i="8" s="1"/>
  <c r="D33" i="8"/>
  <c r="D34" i="8" s="1"/>
  <c r="D39" i="8" s="1"/>
  <c r="G85" i="8"/>
  <c r="C9" i="8"/>
  <c r="C12" i="8"/>
  <c r="D92" i="8"/>
  <c r="E91" i="8"/>
  <c r="F91" i="8" s="1"/>
  <c r="G91" i="8" s="1"/>
  <c r="H91" i="8" s="1"/>
  <c r="I91" i="8" s="1"/>
  <c r="J91" i="8" s="1"/>
  <c r="K91" i="8" s="1"/>
  <c r="L91" i="8" s="1"/>
  <c r="M91" i="8" s="1"/>
  <c r="F53" i="8"/>
  <c r="E102" i="8"/>
  <c r="F102" i="8" s="1"/>
  <c r="G102" i="8" s="1"/>
  <c r="H102" i="8" s="1"/>
  <c r="I102" i="8" s="1"/>
  <c r="J102" i="8" s="1"/>
  <c r="K102" i="8" s="1"/>
  <c r="L102" i="8" s="1"/>
  <c r="M102" i="8" s="1"/>
  <c r="E30" i="8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E36" i="8"/>
  <c r="D54" i="8"/>
  <c r="E105" i="8"/>
  <c r="E56" i="6"/>
  <c r="F23" i="6"/>
  <c r="E48" i="6"/>
  <c r="E50" i="6" s="1"/>
  <c r="F53" i="6"/>
  <c r="F105" i="6"/>
  <c r="C12" i="6"/>
  <c r="F85" i="6"/>
  <c r="D60" i="6"/>
  <c r="D56" i="6"/>
  <c r="D33" i="6"/>
  <c r="D34" i="6" s="1"/>
  <c r="D39" i="6" s="1"/>
  <c r="D58" i="6" s="1"/>
  <c r="E29" i="6" s="1"/>
  <c r="F36" i="6"/>
  <c r="D108" i="6"/>
  <c r="E103" i="6"/>
  <c r="F103" i="6" s="1"/>
  <c r="G103" i="6" s="1"/>
  <c r="H103" i="6" s="1"/>
  <c r="I103" i="6" s="1"/>
  <c r="J103" i="6" s="1"/>
  <c r="K103" i="6" s="1"/>
  <c r="L103" i="6" s="1"/>
  <c r="M103" i="6" s="1"/>
  <c r="E102" i="6"/>
  <c r="F102" i="6" s="1"/>
  <c r="G102" i="6" s="1"/>
  <c r="H102" i="6" s="1"/>
  <c r="I102" i="6" s="1"/>
  <c r="J102" i="6" s="1"/>
  <c r="K102" i="6" s="1"/>
  <c r="L102" i="6" s="1"/>
  <c r="M102" i="6" s="1"/>
  <c r="D94" i="6"/>
  <c r="D98" i="6"/>
  <c r="E97" i="6"/>
  <c r="E50" i="7"/>
  <c r="F36" i="7"/>
  <c r="H105" i="7"/>
  <c r="D60" i="7"/>
  <c r="D56" i="7"/>
  <c r="E23" i="7"/>
  <c r="D26" i="7"/>
  <c r="E26" i="7" s="1"/>
  <c r="F26" i="7" s="1"/>
  <c r="G26" i="7" s="1"/>
  <c r="H26" i="7" s="1"/>
  <c r="I26" i="7" s="1"/>
  <c r="J26" i="7" s="1"/>
  <c r="K26" i="7" s="1"/>
  <c r="L26" i="7" s="1"/>
  <c r="M26" i="7" s="1"/>
  <c r="N26" i="7" s="1"/>
  <c r="O26" i="7" s="1"/>
  <c r="P26" i="7" s="1"/>
  <c r="Q26" i="7" s="1"/>
  <c r="R26" i="7" s="1"/>
  <c r="S26" i="7" s="1"/>
  <c r="T26" i="7" s="1"/>
  <c r="U26" i="7" s="1"/>
  <c r="V26" i="7" s="1"/>
  <c r="W26" i="7" s="1"/>
  <c r="X26" i="7" s="1"/>
  <c r="Y26" i="7" s="1"/>
  <c r="Z26" i="7" s="1"/>
  <c r="AA26" i="7" s="1"/>
  <c r="AB26" i="7" s="1"/>
  <c r="AC26" i="7" s="1"/>
  <c r="AD26" i="7" s="1"/>
  <c r="AE26" i="7" s="1"/>
  <c r="AF26" i="7" s="1"/>
  <c r="AG26" i="7" s="1"/>
  <c r="AH26" i="7" s="1"/>
  <c r="AI26" i="7" s="1"/>
  <c r="G53" i="7"/>
  <c r="D33" i="7"/>
  <c r="D34" i="7" s="1"/>
  <c r="D39" i="7" s="1"/>
  <c r="D58" i="7" s="1"/>
  <c r="E29" i="7" s="1"/>
  <c r="D98" i="7"/>
  <c r="E97" i="7"/>
  <c r="G85" i="7"/>
  <c r="D54" i="7"/>
  <c r="D94" i="7"/>
  <c r="D95" i="7"/>
  <c r="E102" i="7"/>
  <c r="F102" i="7" s="1"/>
  <c r="G102" i="7" s="1"/>
  <c r="H102" i="7" s="1"/>
  <c r="I102" i="7" s="1"/>
  <c r="J102" i="7" s="1"/>
  <c r="K102" i="7" s="1"/>
  <c r="L102" i="7" s="1"/>
  <c r="M102" i="7" s="1"/>
  <c r="D131" i="3"/>
  <c r="D132" i="3" s="1"/>
  <c r="F139" i="3"/>
  <c r="G139" i="3" s="1"/>
  <c r="H139" i="3" s="1"/>
  <c r="I139" i="3" s="1"/>
  <c r="J139" i="3" s="1"/>
  <c r="K139" i="3" s="1"/>
  <c r="L139" i="3" s="1"/>
  <c r="M139" i="3" s="1"/>
  <c r="H122" i="3"/>
  <c r="D145" i="3"/>
  <c r="E128" i="3"/>
  <c r="F128" i="3" s="1"/>
  <c r="G128" i="3" s="1"/>
  <c r="H128" i="3" s="1"/>
  <c r="I128" i="3" s="1"/>
  <c r="J128" i="3" s="1"/>
  <c r="K128" i="3" s="1"/>
  <c r="L128" i="3" s="1"/>
  <c r="M128" i="3" s="1"/>
  <c r="E134" i="3"/>
  <c r="E142" i="3"/>
  <c r="C55" i="3"/>
  <c r="C58" i="3"/>
  <c r="C51" i="3"/>
  <c r="C52" i="3" s="1"/>
  <c r="D69" i="3"/>
  <c r="E36" i="3"/>
  <c r="F36" i="3" s="1"/>
  <c r="G36" i="3" s="1"/>
  <c r="H36" i="3" s="1"/>
  <c r="I36" i="3" s="1"/>
  <c r="J36" i="3" s="1"/>
  <c r="K36" i="3" s="1"/>
  <c r="L36" i="3" s="1"/>
  <c r="M36" i="3" s="1"/>
  <c r="E76" i="3"/>
  <c r="F76" i="3" s="1"/>
  <c r="G76" i="3" s="1"/>
  <c r="H76" i="3" s="1"/>
  <c r="I76" i="3" s="1"/>
  <c r="J76" i="3" s="1"/>
  <c r="K76" i="3" s="1"/>
  <c r="L76" i="3" s="1"/>
  <c r="M76" i="3" s="1"/>
  <c r="N76" i="3" s="1"/>
  <c r="O76" i="3" s="1"/>
  <c r="P76" i="3" s="1"/>
  <c r="Q76" i="3" s="1"/>
  <c r="R76" i="3" s="1"/>
  <c r="S76" i="3" s="1"/>
  <c r="T76" i="3" s="1"/>
  <c r="E90" i="3"/>
  <c r="F90" i="3" s="1"/>
  <c r="G90" i="3" s="1"/>
  <c r="E87" i="3"/>
  <c r="F87" i="3" s="1"/>
  <c r="G87" i="3" s="1"/>
  <c r="H87" i="3" s="1"/>
  <c r="I87" i="3" s="1"/>
  <c r="J87" i="3" s="1"/>
  <c r="K87" i="3" s="1"/>
  <c r="L87" i="3" s="1"/>
  <c r="M87" i="3" s="1"/>
  <c r="N87" i="3" s="1"/>
  <c r="O87" i="3" s="1"/>
  <c r="P87" i="3" s="1"/>
  <c r="Q87" i="3" s="1"/>
  <c r="R87" i="3" s="1"/>
  <c r="S87" i="3" s="1"/>
  <c r="T87" i="3" s="1"/>
  <c r="D79" i="3"/>
  <c r="D80" i="3" s="1"/>
  <c r="G70" i="3"/>
  <c r="E82" i="3"/>
  <c r="D28" i="3"/>
  <c r="D29" i="3" s="1"/>
  <c r="D34" i="3" s="1"/>
  <c r="E25" i="3"/>
  <c r="F25" i="3" s="1"/>
  <c r="G25" i="3" s="1"/>
  <c r="H25" i="3" s="1"/>
  <c r="I25" i="3" s="1"/>
  <c r="J25" i="3" s="1"/>
  <c r="K25" i="3" s="1"/>
  <c r="L25" i="3" s="1"/>
  <c r="M25" i="3" s="1"/>
  <c r="E31" i="3"/>
  <c r="F31" i="3" s="1"/>
  <c r="G31" i="3" s="1"/>
  <c r="E19" i="3"/>
  <c r="D40" i="3"/>
  <c r="D42" i="3" s="1"/>
  <c r="J21" i="3"/>
  <c r="K21" i="3" s="1"/>
  <c r="L21" i="3" s="1"/>
  <c r="M21" i="3" s="1"/>
  <c r="J20" i="3"/>
  <c r="K20" i="3" s="1"/>
  <c r="L20" i="3" s="1"/>
  <c r="M20" i="3" s="1"/>
  <c r="F39" i="3"/>
  <c r="D17" i="15" l="1"/>
  <c r="F111" i="11"/>
  <c r="D33" i="11"/>
  <c r="D34" i="11" s="1"/>
  <c r="D39" i="11" s="1"/>
  <c r="G103" i="11"/>
  <c r="E62" i="11"/>
  <c r="E54" i="11"/>
  <c r="F23" i="11"/>
  <c r="G59" i="11"/>
  <c r="D100" i="11"/>
  <c r="D101" i="11" s="1"/>
  <c r="G36" i="11"/>
  <c r="H91" i="11"/>
  <c r="D54" i="10"/>
  <c r="E23" i="10"/>
  <c r="D62" i="10"/>
  <c r="H91" i="10"/>
  <c r="G59" i="10"/>
  <c r="E62" i="10"/>
  <c r="F23" i="10"/>
  <c r="F103" i="10"/>
  <c r="F111" i="10"/>
  <c r="D106" i="10"/>
  <c r="J36" i="10"/>
  <c r="D94" i="8"/>
  <c r="D95" i="8"/>
  <c r="F97" i="8"/>
  <c r="H85" i="8"/>
  <c r="E48" i="8"/>
  <c r="E50" i="8" s="1"/>
  <c r="E56" i="8"/>
  <c r="F23" i="8"/>
  <c r="G53" i="8"/>
  <c r="D58" i="8"/>
  <c r="E29" i="8" s="1"/>
  <c r="E37" i="8" s="1"/>
  <c r="F36" i="8"/>
  <c r="F105" i="8"/>
  <c r="E31" i="6"/>
  <c r="E54" i="6"/>
  <c r="E37" i="6"/>
  <c r="F48" i="6"/>
  <c r="F50" i="6" s="1"/>
  <c r="F56" i="6"/>
  <c r="G23" i="6"/>
  <c r="G36" i="6"/>
  <c r="G105" i="6"/>
  <c r="F97" i="6"/>
  <c r="G53" i="6"/>
  <c r="D95" i="6"/>
  <c r="G85" i="6"/>
  <c r="E31" i="7"/>
  <c r="E37" i="7"/>
  <c r="E54" i="7"/>
  <c r="I105" i="7"/>
  <c r="F50" i="7"/>
  <c r="G36" i="7"/>
  <c r="H85" i="7"/>
  <c r="H53" i="7"/>
  <c r="D100" i="7"/>
  <c r="F97" i="7"/>
  <c r="F23" i="7"/>
  <c r="E56" i="7"/>
  <c r="D137" i="3"/>
  <c r="F134" i="3"/>
  <c r="I122" i="3"/>
  <c r="F142" i="3"/>
  <c r="E69" i="3"/>
  <c r="F69" i="3" s="1"/>
  <c r="G69" i="3" s="1"/>
  <c r="H69" i="3" s="1"/>
  <c r="I69" i="3" s="1"/>
  <c r="J69" i="3" s="1"/>
  <c r="K69" i="3" s="1"/>
  <c r="L69" i="3" s="1"/>
  <c r="M69" i="3" s="1"/>
  <c r="N69" i="3" s="1"/>
  <c r="D97" i="3"/>
  <c r="O69" i="3"/>
  <c r="D93" i="3"/>
  <c r="D85" i="3"/>
  <c r="F82" i="3"/>
  <c r="H70" i="3"/>
  <c r="H90" i="3"/>
  <c r="F19" i="3"/>
  <c r="G19" i="3" s="1"/>
  <c r="G39" i="3"/>
  <c r="E24" i="3"/>
  <c r="D44" i="3"/>
  <c r="H31" i="3"/>
  <c r="D106" i="11" l="1"/>
  <c r="D56" i="11"/>
  <c r="E29" i="11" s="1"/>
  <c r="D64" i="11"/>
  <c r="H36" i="11"/>
  <c r="H59" i="11"/>
  <c r="I91" i="11"/>
  <c r="F62" i="11"/>
  <c r="F54" i="11"/>
  <c r="G23" i="11"/>
  <c r="H103" i="11"/>
  <c r="G111" i="11"/>
  <c r="D56" i="10"/>
  <c r="E29" i="10" s="1"/>
  <c r="E37" i="10" s="1"/>
  <c r="E54" i="10"/>
  <c r="F54" i="10" s="1"/>
  <c r="G111" i="10"/>
  <c r="F62" i="10"/>
  <c r="G23" i="10"/>
  <c r="I91" i="10"/>
  <c r="K36" i="10"/>
  <c r="D116" i="10"/>
  <c r="E96" i="10"/>
  <c r="H59" i="10"/>
  <c r="G103" i="10"/>
  <c r="G36" i="8"/>
  <c r="H53" i="8"/>
  <c r="G97" i="8"/>
  <c r="I85" i="8"/>
  <c r="F48" i="8"/>
  <c r="F50" i="8" s="1"/>
  <c r="F56" i="8"/>
  <c r="G23" i="8"/>
  <c r="E31" i="8"/>
  <c r="E54" i="8"/>
  <c r="D100" i="8"/>
  <c r="G105" i="8"/>
  <c r="G56" i="6"/>
  <c r="H23" i="6"/>
  <c r="G48" i="6"/>
  <c r="G50" i="6" s="1"/>
  <c r="G97" i="6"/>
  <c r="H105" i="6"/>
  <c r="H53" i="6"/>
  <c r="H85" i="6"/>
  <c r="D100" i="6"/>
  <c r="E33" i="6"/>
  <c r="E34" i="6" s="1"/>
  <c r="E39" i="6" s="1"/>
  <c r="E58" i="6" s="1"/>
  <c r="F29" i="6" s="1"/>
  <c r="H36" i="6"/>
  <c r="D110" i="7"/>
  <c r="E90" i="7"/>
  <c r="G50" i="7"/>
  <c r="J105" i="7"/>
  <c r="I53" i="7"/>
  <c r="F56" i="7"/>
  <c r="G23" i="7"/>
  <c r="I85" i="7"/>
  <c r="G97" i="7"/>
  <c r="H36" i="7"/>
  <c r="E33" i="7"/>
  <c r="E34" i="7" s="1"/>
  <c r="E39" i="7" s="1"/>
  <c r="E58" i="7" s="1"/>
  <c r="F29" i="7" s="1"/>
  <c r="J122" i="3"/>
  <c r="G142" i="3"/>
  <c r="G134" i="3"/>
  <c r="D147" i="3"/>
  <c r="E127" i="3"/>
  <c r="P69" i="3"/>
  <c r="O93" i="3"/>
  <c r="G82" i="3"/>
  <c r="I70" i="3"/>
  <c r="E75" i="3"/>
  <c r="D95" i="3"/>
  <c r="I90" i="3"/>
  <c r="E26" i="3"/>
  <c r="E32" i="3"/>
  <c r="E40" i="3"/>
  <c r="E42" i="3" s="1"/>
  <c r="H39" i="3"/>
  <c r="I31" i="3"/>
  <c r="H19" i="3"/>
  <c r="J91" i="11" l="1"/>
  <c r="E31" i="11"/>
  <c r="E60" i="11"/>
  <c r="E37" i="11"/>
  <c r="I59" i="11"/>
  <c r="G54" i="11"/>
  <c r="G62" i="11"/>
  <c r="H23" i="11"/>
  <c r="H111" i="11"/>
  <c r="D116" i="11"/>
  <c r="E96" i="11"/>
  <c r="I103" i="11"/>
  <c r="I36" i="11"/>
  <c r="E31" i="10"/>
  <c r="E33" i="10" s="1"/>
  <c r="E34" i="10" s="1"/>
  <c r="E39" i="10" s="1"/>
  <c r="E60" i="10"/>
  <c r="D64" i="10"/>
  <c r="L36" i="10"/>
  <c r="E98" i="10"/>
  <c r="E112" i="10"/>
  <c r="E104" i="10"/>
  <c r="J91" i="10"/>
  <c r="I59" i="10"/>
  <c r="H111" i="10"/>
  <c r="G62" i="10"/>
  <c r="G54" i="10"/>
  <c r="H23" i="10"/>
  <c r="H103" i="10"/>
  <c r="J85" i="8"/>
  <c r="H97" i="8"/>
  <c r="G56" i="8"/>
  <c r="G48" i="8"/>
  <c r="G50" i="8" s="1"/>
  <c r="H23" i="8"/>
  <c r="I53" i="8"/>
  <c r="D110" i="8"/>
  <c r="E90" i="8"/>
  <c r="E33" i="8"/>
  <c r="E34" i="8" s="1"/>
  <c r="E39" i="8" s="1"/>
  <c r="E58" i="8" s="1"/>
  <c r="F29" i="8" s="1"/>
  <c r="H105" i="8"/>
  <c r="H36" i="8"/>
  <c r="F31" i="6"/>
  <c r="F37" i="6"/>
  <c r="F54" i="6"/>
  <c r="I53" i="6"/>
  <c r="D110" i="6"/>
  <c r="E90" i="6"/>
  <c r="H97" i="6"/>
  <c r="I105" i="6"/>
  <c r="I85" i="6"/>
  <c r="H56" i="6"/>
  <c r="H48" i="6"/>
  <c r="H50" i="6" s="1"/>
  <c r="I23" i="6"/>
  <c r="I36" i="6"/>
  <c r="I36" i="7"/>
  <c r="K105" i="7"/>
  <c r="H50" i="7"/>
  <c r="G56" i="7"/>
  <c r="H23" i="7"/>
  <c r="E106" i="7"/>
  <c r="E92" i="7"/>
  <c r="E98" i="7"/>
  <c r="J53" i="7"/>
  <c r="H97" i="7"/>
  <c r="J85" i="7"/>
  <c r="F31" i="7"/>
  <c r="F54" i="7"/>
  <c r="F37" i="7"/>
  <c r="H134" i="3"/>
  <c r="E129" i="3"/>
  <c r="E143" i="3"/>
  <c r="E135" i="3"/>
  <c r="H142" i="3"/>
  <c r="K122" i="3"/>
  <c r="J145" i="3"/>
  <c r="Q69" i="3"/>
  <c r="P93" i="3"/>
  <c r="J90" i="3"/>
  <c r="E77" i="3"/>
  <c r="E91" i="3"/>
  <c r="E93" i="3" s="1"/>
  <c r="E83" i="3"/>
  <c r="J70" i="3"/>
  <c r="H82" i="3"/>
  <c r="I39" i="3"/>
  <c r="E28" i="3"/>
  <c r="I19" i="3"/>
  <c r="J31" i="3"/>
  <c r="J36" i="11" l="1"/>
  <c r="K91" i="11"/>
  <c r="J103" i="11"/>
  <c r="J59" i="11"/>
  <c r="I111" i="11"/>
  <c r="E34" i="11"/>
  <c r="E39" i="11" s="1"/>
  <c r="E33" i="11"/>
  <c r="E98" i="11"/>
  <c r="E104" i="11"/>
  <c r="E112" i="11"/>
  <c r="H62" i="11"/>
  <c r="I23" i="11"/>
  <c r="H54" i="11"/>
  <c r="E56" i="10"/>
  <c r="J59" i="10"/>
  <c r="I103" i="10"/>
  <c r="H62" i="10"/>
  <c r="H54" i="10"/>
  <c r="I23" i="10"/>
  <c r="K91" i="10"/>
  <c r="E100" i="10"/>
  <c r="E101" i="10" s="1"/>
  <c r="I111" i="10"/>
  <c r="M36" i="10"/>
  <c r="E114" i="10"/>
  <c r="F31" i="8"/>
  <c r="F54" i="8"/>
  <c r="F37" i="8"/>
  <c r="H56" i="8"/>
  <c r="H48" i="8"/>
  <c r="H50" i="8" s="1"/>
  <c r="I23" i="8"/>
  <c r="I97" i="8"/>
  <c r="J53" i="8"/>
  <c r="I105" i="8"/>
  <c r="I36" i="8"/>
  <c r="E92" i="8"/>
  <c r="E106" i="8"/>
  <c r="E98" i="8"/>
  <c r="K85" i="8"/>
  <c r="E92" i="6"/>
  <c r="E106" i="6"/>
  <c r="E98" i="6"/>
  <c r="J85" i="6"/>
  <c r="J53" i="6"/>
  <c r="J36" i="6"/>
  <c r="J105" i="6"/>
  <c r="F33" i="6"/>
  <c r="F34" i="6" s="1"/>
  <c r="F39" i="6" s="1"/>
  <c r="F58" i="6" s="1"/>
  <c r="G29" i="6" s="1"/>
  <c r="I56" i="6"/>
  <c r="I48" i="6"/>
  <c r="I50" i="6" s="1"/>
  <c r="J23" i="6"/>
  <c r="I97" i="6"/>
  <c r="I50" i="7"/>
  <c r="K53" i="7"/>
  <c r="L105" i="7"/>
  <c r="E94" i="7"/>
  <c r="E95" i="7" s="1"/>
  <c r="E108" i="7"/>
  <c r="J36" i="7"/>
  <c r="H56" i="7"/>
  <c r="I23" i="7"/>
  <c r="I97" i="7"/>
  <c r="F33" i="7"/>
  <c r="F34" i="7" s="1"/>
  <c r="F39" i="7" s="1"/>
  <c r="F58" i="7" s="1"/>
  <c r="G29" i="7" s="1"/>
  <c r="K85" i="7"/>
  <c r="I142" i="3"/>
  <c r="E145" i="3"/>
  <c r="E131" i="3"/>
  <c r="K145" i="3"/>
  <c r="L122" i="3"/>
  <c r="I134" i="3"/>
  <c r="R69" i="3"/>
  <c r="Q93" i="3"/>
  <c r="K70" i="3"/>
  <c r="E79" i="3"/>
  <c r="E80" i="3" s="1"/>
  <c r="K90" i="3"/>
  <c r="I82" i="3"/>
  <c r="K31" i="3"/>
  <c r="J19" i="3"/>
  <c r="J42" i="3" s="1"/>
  <c r="J39" i="3"/>
  <c r="E29" i="3"/>
  <c r="L91" i="11" l="1"/>
  <c r="I62" i="11"/>
  <c r="I54" i="11"/>
  <c r="J23" i="11"/>
  <c r="K36" i="11"/>
  <c r="E114" i="11"/>
  <c r="K59" i="11"/>
  <c r="K103" i="11"/>
  <c r="E56" i="11"/>
  <c r="F29" i="11" s="1"/>
  <c r="J111" i="11"/>
  <c r="E100" i="11"/>
  <c r="E101" i="11"/>
  <c r="E64" i="10"/>
  <c r="F29" i="10"/>
  <c r="F60" i="10" s="1"/>
  <c r="I62" i="10"/>
  <c r="I54" i="10"/>
  <c r="J23" i="10"/>
  <c r="J103" i="10"/>
  <c r="E106" i="10"/>
  <c r="L91" i="10"/>
  <c r="J111" i="10"/>
  <c r="N36" i="10"/>
  <c r="K59" i="10"/>
  <c r="J36" i="8"/>
  <c r="J105" i="8"/>
  <c r="L85" i="8"/>
  <c r="I56" i="8"/>
  <c r="I48" i="8"/>
  <c r="I50" i="8" s="1"/>
  <c r="J23" i="8"/>
  <c r="F33" i="8"/>
  <c r="F34" i="8" s="1"/>
  <c r="F39" i="8" s="1"/>
  <c r="F58" i="8" s="1"/>
  <c r="G29" i="8" s="1"/>
  <c r="E108" i="8"/>
  <c r="K53" i="8"/>
  <c r="E94" i="8"/>
  <c r="E95" i="8"/>
  <c r="J97" i="8"/>
  <c r="G31" i="6"/>
  <c r="G54" i="6"/>
  <c r="G37" i="6"/>
  <c r="K105" i="6"/>
  <c r="K53" i="6"/>
  <c r="K85" i="6"/>
  <c r="E108" i="6"/>
  <c r="J97" i="6"/>
  <c r="J56" i="6"/>
  <c r="J48" i="6"/>
  <c r="J50" i="6" s="1"/>
  <c r="K23" i="6"/>
  <c r="K36" i="6"/>
  <c r="E94" i="6"/>
  <c r="E95" i="6"/>
  <c r="E100" i="7"/>
  <c r="I56" i="7"/>
  <c r="J23" i="7"/>
  <c r="M105" i="7"/>
  <c r="L85" i="7"/>
  <c r="J97" i="7"/>
  <c r="K36" i="7"/>
  <c r="J50" i="7"/>
  <c r="L53" i="7"/>
  <c r="G31" i="7"/>
  <c r="G54" i="7"/>
  <c r="G37" i="7"/>
  <c r="J134" i="3"/>
  <c r="E132" i="3"/>
  <c r="L145" i="3"/>
  <c r="M122" i="3"/>
  <c r="M145" i="3" s="1"/>
  <c r="J142" i="3"/>
  <c r="S69" i="3"/>
  <c r="R93" i="3"/>
  <c r="E85" i="3"/>
  <c r="J82" i="3"/>
  <c r="L90" i="3"/>
  <c r="L70" i="3"/>
  <c r="E34" i="3"/>
  <c r="K39" i="3"/>
  <c r="K19" i="3"/>
  <c r="K42" i="3" s="1"/>
  <c r="L31" i="3"/>
  <c r="L36" i="11" l="1"/>
  <c r="E64" i="11"/>
  <c r="F31" i="11"/>
  <c r="F60" i="11"/>
  <c r="F37" i="11"/>
  <c r="L103" i="11"/>
  <c r="J62" i="11"/>
  <c r="J54" i="11"/>
  <c r="K23" i="11"/>
  <c r="K111" i="11"/>
  <c r="E106" i="11"/>
  <c r="L59" i="11"/>
  <c r="M91" i="11"/>
  <c r="F37" i="10"/>
  <c r="F31" i="10"/>
  <c r="F33" i="10" s="1"/>
  <c r="F34" i="10" s="1"/>
  <c r="M91" i="10"/>
  <c r="J62" i="10"/>
  <c r="J54" i="10"/>
  <c r="K23" i="10"/>
  <c r="E116" i="10"/>
  <c r="F96" i="10"/>
  <c r="L59" i="10"/>
  <c r="O36" i="10"/>
  <c r="K111" i="10"/>
  <c r="K103" i="10"/>
  <c r="G31" i="8"/>
  <c r="G54" i="8"/>
  <c r="G37" i="8"/>
  <c r="J56" i="8"/>
  <c r="J48" i="8"/>
  <c r="J50" i="8" s="1"/>
  <c r="K23" i="8"/>
  <c r="M85" i="8"/>
  <c r="K36" i="8"/>
  <c r="K105" i="8"/>
  <c r="E100" i="8"/>
  <c r="L53" i="8"/>
  <c r="K97" i="8"/>
  <c r="E100" i="6"/>
  <c r="L105" i="6"/>
  <c r="K97" i="6"/>
  <c r="G33" i="6"/>
  <c r="G34" i="6" s="1"/>
  <c r="G39" i="6" s="1"/>
  <c r="G58" i="6" s="1"/>
  <c r="H29" i="6" s="1"/>
  <c r="L53" i="6"/>
  <c r="L36" i="6"/>
  <c r="K48" i="6"/>
  <c r="K50" i="6" s="1"/>
  <c r="L23" i="6"/>
  <c r="K56" i="6"/>
  <c r="L85" i="6"/>
  <c r="J56" i="7"/>
  <c r="K23" i="7"/>
  <c r="E110" i="7"/>
  <c r="F90" i="7"/>
  <c r="M53" i="7"/>
  <c r="M85" i="7"/>
  <c r="K50" i="7"/>
  <c r="L36" i="7"/>
  <c r="G33" i="7"/>
  <c r="G34" i="7" s="1"/>
  <c r="G39" i="7" s="1"/>
  <c r="G58" i="7" s="1"/>
  <c r="H29" i="7" s="1"/>
  <c r="K97" i="7"/>
  <c r="K142" i="3"/>
  <c r="K134" i="3"/>
  <c r="E137" i="3"/>
  <c r="T69" i="3"/>
  <c r="T93" i="3" s="1"/>
  <c r="S93" i="3"/>
  <c r="M90" i="3"/>
  <c r="N90" i="3" s="1"/>
  <c r="O90" i="3" s="1"/>
  <c r="P90" i="3" s="1"/>
  <c r="Q90" i="3" s="1"/>
  <c r="R90" i="3" s="1"/>
  <c r="S90" i="3" s="1"/>
  <c r="T90" i="3" s="1"/>
  <c r="K82" i="3"/>
  <c r="M70" i="3"/>
  <c r="E95" i="3"/>
  <c r="F75" i="3"/>
  <c r="E44" i="3"/>
  <c r="F24" i="3"/>
  <c r="M31" i="3"/>
  <c r="L39" i="3"/>
  <c r="L19" i="3"/>
  <c r="L42" i="3" s="1"/>
  <c r="L111" i="11" l="1"/>
  <c r="F33" i="11"/>
  <c r="F34" i="11" s="1"/>
  <c r="F39" i="11" s="1"/>
  <c r="K54" i="11"/>
  <c r="K62" i="11"/>
  <c r="L23" i="11"/>
  <c r="M59" i="11"/>
  <c r="E116" i="11"/>
  <c r="F96" i="11"/>
  <c r="M103" i="11"/>
  <c r="M36" i="11"/>
  <c r="F39" i="10"/>
  <c r="F56" i="10" s="1"/>
  <c r="G29" i="10" s="1"/>
  <c r="G37" i="10" s="1"/>
  <c r="L103" i="10"/>
  <c r="F98" i="10"/>
  <c r="F112" i="10"/>
  <c r="F104" i="10"/>
  <c r="L111" i="10"/>
  <c r="K54" i="10"/>
  <c r="K62" i="10"/>
  <c r="L23" i="10"/>
  <c r="P36" i="10"/>
  <c r="M59" i="10"/>
  <c r="L97" i="8"/>
  <c r="M53" i="8"/>
  <c r="L105" i="8"/>
  <c r="G33" i="8"/>
  <c r="G34" i="8" s="1"/>
  <c r="G39" i="8" s="1"/>
  <c r="G58" i="8" s="1"/>
  <c r="H29" i="8" s="1"/>
  <c r="K48" i="8"/>
  <c r="K50" i="8" s="1"/>
  <c r="K56" i="8"/>
  <c r="L23" i="8"/>
  <c r="L36" i="8"/>
  <c r="E110" i="8"/>
  <c r="F90" i="8"/>
  <c r="H31" i="6"/>
  <c r="H37" i="6"/>
  <c r="H54" i="6"/>
  <c r="M36" i="6"/>
  <c r="M105" i="6"/>
  <c r="M85" i="6"/>
  <c r="M53" i="6"/>
  <c r="E110" i="6"/>
  <c r="F90" i="6"/>
  <c r="L56" i="6"/>
  <c r="L48" i="6"/>
  <c r="L50" i="6" s="1"/>
  <c r="M23" i="6"/>
  <c r="L97" i="6"/>
  <c r="H31" i="7"/>
  <c r="H54" i="7"/>
  <c r="H37" i="7"/>
  <c r="L97" i="7"/>
  <c r="M36" i="7"/>
  <c r="L50" i="7"/>
  <c r="N53" i="7"/>
  <c r="F92" i="7"/>
  <c r="F106" i="7"/>
  <c r="F98" i="7"/>
  <c r="K56" i="7"/>
  <c r="L23" i="7"/>
  <c r="L134" i="3"/>
  <c r="L142" i="3"/>
  <c r="E147" i="3"/>
  <c r="F127" i="3"/>
  <c r="N70" i="3"/>
  <c r="F77" i="3"/>
  <c r="F91" i="3"/>
  <c r="F93" i="3" s="1"/>
  <c r="F83" i="3"/>
  <c r="L82" i="3"/>
  <c r="M19" i="3"/>
  <c r="M42" i="3" s="1"/>
  <c r="M39" i="3"/>
  <c r="F26" i="3"/>
  <c r="F32" i="3"/>
  <c r="F40" i="3"/>
  <c r="F42" i="3" s="1"/>
  <c r="F56" i="11" l="1"/>
  <c r="G29" i="11" s="1"/>
  <c r="L54" i="11"/>
  <c r="M23" i="11"/>
  <c r="L62" i="11"/>
  <c r="N36" i="11"/>
  <c r="M111" i="11"/>
  <c r="F98" i="11"/>
  <c r="F104" i="11"/>
  <c r="F112" i="11"/>
  <c r="N59" i="11"/>
  <c r="G60" i="10"/>
  <c r="F64" i="10"/>
  <c r="G31" i="10"/>
  <c r="G33" i="10" s="1"/>
  <c r="G34" i="10" s="1"/>
  <c r="G39" i="10" s="1"/>
  <c r="G56" i="10" s="1"/>
  <c r="L62" i="10"/>
  <c r="L54" i="10"/>
  <c r="M23" i="10"/>
  <c r="F100" i="10"/>
  <c r="M103" i="10"/>
  <c r="M111" i="10"/>
  <c r="N59" i="10"/>
  <c r="Q36" i="10"/>
  <c r="F114" i="10"/>
  <c r="H31" i="8"/>
  <c r="H54" i="8"/>
  <c r="H37" i="8"/>
  <c r="F92" i="8"/>
  <c r="F106" i="8"/>
  <c r="F98" i="8"/>
  <c r="M36" i="8"/>
  <c r="L56" i="8"/>
  <c r="L48" i="8"/>
  <c r="L50" i="8" s="1"/>
  <c r="M23" i="8"/>
  <c r="M105" i="8"/>
  <c r="N53" i="8"/>
  <c r="M97" i="8"/>
  <c r="F92" i="6"/>
  <c r="F106" i="6"/>
  <c r="F98" i="6"/>
  <c r="N36" i="6"/>
  <c r="M97" i="6"/>
  <c r="N53" i="6"/>
  <c r="H33" i="6"/>
  <c r="H34" i="6" s="1"/>
  <c r="H39" i="6" s="1"/>
  <c r="H58" i="6" s="1"/>
  <c r="I29" i="6" s="1"/>
  <c r="M56" i="6"/>
  <c r="M48" i="6"/>
  <c r="M50" i="6" s="1"/>
  <c r="N23" i="6"/>
  <c r="F94" i="7"/>
  <c r="F95" i="7" s="1"/>
  <c r="M97" i="7"/>
  <c r="O53" i="7"/>
  <c r="N36" i="7"/>
  <c r="F108" i="7"/>
  <c r="L56" i="7"/>
  <c r="M23" i="7"/>
  <c r="M50" i="7"/>
  <c r="H33" i="7"/>
  <c r="H34" i="7" s="1"/>
  <c r="H39" i="7" s="1"/>
  <c r="H58" i="7" s="1"/>
  <c r="I29" i="7" s="1"/>
  <c r="F129" i="3"/>
  <c r="F135" i="3"/>
  <c r="F143" i="3"/>
  <c r="M142" i="3"/>
  <c r="M134" i="3"/>
  <c r="O70" i="3"/>
  <c r="F79" i="3"/>
  <c r="F80" i="3" s="1"/>
  <c r="M82" i="3"/>
  <c r="N82" i="3" s="1"/>
  <c r="O82" i="3" s="1"/>
  <c r="P82" i="3" s="1"/>
  <c r="Q82" i="3" s="1"/>
  <c r="R82" i="3" s="1"/>
  <c r="S82" i="3" s="1"/>
  <c r="T82" i="3" s="1"/>
  <c r="F28" i="3"/>
  <c r="F29" i="3" s="1"/>
  <c r="F114" i="11" l="1"/>
  <c r="G31" i="11"/>
  <c r="G37" i="11"/>
  <c r="G60" i="11"/>
  <c r="O59" i="11"/>
  <c r="O36" i="11"/>
  <c r="M62" i="11"/>
  <c r="N23" i="11"/>
  <c r="M54" i="11"/>
  <c r="F100" i="11"/>
  <c r="F101" i="11"/>
  <c r="F64" i="11"/>
  <c r="G64" i="10"/>
  <c r="H29" i="10"/>
  <c r="H31" i="10" s="1"/>
  <c r="H33" i="10" s="1"/>
  <c r="H34" i="10" s="1"/>
  <c r="R36" i="10"/>
  <c r="M62" i="10"/>
  <c r="M54" i="10"/>
  <c r="N23" i="10"/>
  <c r="O59" i="10"/>
  <c r="F101" i="10"/>
  <c r="F108" i="8"/>
  <c r="M48" i="8"/>
  <c r="M50" i="8" s="1"/>
  <c r="N23" i="8"/>
  <c r="M56" i="8"/>
  <c r="F94" i="8"/>
  <c r="F95" i="8"/>
  <c r="N36" i="8"/>
  <c r="H33" i="8"/>
  <c r="H34" i="8" s="1"/>
  <c r="H39" i="8" s="1"/>
  <c r="H58" i="8" s="1"/>
  <c r="I29" i="8" s="1"/>
  <c r="O53" i="8"/>
  <c r="I31" i="6"/>
  <c r="I37" i="6"/>
  <c r="I54" i="6"/>
  <c r="O36" i="6"/>
  <c r="F108" i="6"/>
  <c r="F94" i="6"/>
  <c r="O53" i="6"/>
  <c r="N48" i="6"/>
  <c r="N50" i="6" s="1"/>
  <c r="O23" i="6"/>
  <c r="N56" i="6"/>
  <c r="N50" i="7"/>
  <c r="I31" i="7"/>
  <c r="I54" i="7"/>
  <c r="I37" i="7"/>
  <c r="N23" i="7"/>
  <c r="M56" i="7"/>
  <c r="F100" i="7"/>
  <c r="O36" i="7"/>
  <c r="P53" i="7"/>
  <c r="F131" i="3"/>
  <c r="F145" i="3"/>
  <c r="P70" i="3"/>
  <c r="F85" i="3"/>
  <c r="F34" i="3"/>
  <c r="F106" i="11" l="1"/>
  <c r="P59" i="11"/>
  <c r="N62" i="11"/>
  <c r="N54" i="11"/>
  <c r="O23" i="11"/>
  <c r="G34" i="11"/>
  <c r="G39" i="11" s="1"/>
  <c r="G33" i="11"/>
  <c r="P36" i="11"/>
  <c r="H60" i="10"/>
  <c r="H37" i="10"/>
  <c r="H39" i="10" s="1"/>
  <c r="N62" i="10"/>
  <c r="O23" i="10"/>
  <c r="N54" i="10"/>
  <c r="P59" i="10"/>
  <c r="S36" i="10"/>
  <c r="F106" i="10"/>
  <c r="I31" i="8"/>
  <c r="I54" i="8"/>
  <c r="I37" i="8"/>
  <c r="P53" i="8"/>
  <c r="O36" i="8"/>
  <c r="N48" i="8"/>
  <c r="N50" i="8" s="1"/>
  <c r="N56" i="8"/>
  <c r="O23" i="8"/>
  <c r="F100" i="8"/>
  <c r="O56" i="6"/>
  <c r="P23" i="6"/>
  <c r="O48" i="6"/>
  <c r="O50" i="6" s="1"/>
  <c r="P53" i="6"/>
  <c r="P36" i="6"/>
  <c r="F95" i="6"/>
  <c r="I33" i="6"/>
  <c r="I34" i="6"/>
  <c r="I39" i="6" s="1"/>
  <c r="I58" i="6" s="1"/>
  <c r="J29" i="6" s="1"/>
  <c r="N56" i="7"/>
  <c r="O23" i="7"/>
  <c r="P36" i="7"/>
  <c r="Q53" i="7"/>
  <c r="I33" i="7"/>
  <c r="I34" i="7" s="1"/>
  <c r="I39" i="7" s="1"/>
  <c r="I58" i="7" s="1"/>
  <c r="J29" i="7" s="1"/>
  <c r="G90" i="7"/>
  <c r="F110" i="7"/>
  <c r="O50" i="7"/>
  <c r="F132" i="3"/>
  <c r="Q70" i="3"/>
  <c r="F95" i="3"/>
  <c r="G75" i="3"/>
  <c r="G24" i="3"/>
  <c r="F44" i="3"/>
  <c r="G56" i="11" l="1"/>
  <c r="H29" i="11" s="1"/>
  <c r="G64" i="11"/>
  <c r="Q59" i="11"/>
  <c r="O54" i="11"/>
  <c r="P23" i="11"/>
  <c r="O62" i="11"/>
  <c r="Q36" i="11"/>
  <c r="F116" i="11"/>
  <c r="G96" i="11"/>
  <c r="H56" i="10"/>
  <c r="Q59" i="10"/>
  <c r="G96" i="10"/>
  <c r="F116" i="10"/>
  <c r="O62" i="10"/>
  <c r="O54" i="10"/>
  <c r="P23" i="10"/>
  <c r="T36" i="10"/>
  <c r="P36" i="8"/>
  <c r="F110" i="8"/>
  <c r="G90" i="8"/>
  <c r="Q53" i="8"/>
  <c r="O56" i="8"/>
  <c r="P23" i="8"/>
  <c r="O48" i="8"/>
  <c r="O50" i="8" s="1"/>
  <c r="I33" i="8"/>
  <c r="I34" i="8" s="1"/>
  <c r="I39" i="8" s="1"/>
  <c r="I58" i="8" s="1"/>
  <c r="J29" i="8" s="1"/>
  <c r="Q53" i="6"/>
  <c r="P56" i="6"/>
  <c r="P48" i="6"/>
  <c r="P50" i="6" s="1"/>
  <c r="Q23" i="6"/>
  <c r="F100" i="6"/>
  <c r="J31" i="6"/>
  <c r="J37" i="6"/>
  <c r="J54" i="6"/>
  <c r="Q36" i="6"/>
  <c r="J31" i="7"/>
  <c r="J54" i="7"/>
  <c r="J37" i="7"/>
  <c r="P50" i="7"/>
  <c r="O56" i="7"/>
  <c r="P23" i="7"/>
  <c r="R53" i="7"/>
  <c r="Q36" i="7"/>
  <c r="G92" i="7"/>
  <c r="G106" i="7"/>
  <c r="G98" i="7"/>
  <c r="F137" i="3"/>
  <c r="R70" i="3"/>
  <c r="G77" i="3"/>
  <c r="G91" i="3"/>
  <c r="G93" i="3" s="1"/>
  <c r="G83" i="3"/>
  <c r="G26" i="3"/>
  <c r="G32" i="3"/>
  <c r="G40" i="3"/>
  <c r="G42" i="3" s="1"/>
  <c r="R36" i="11" l="1"/>
  <c r="P62" i="11"/>
  <c r="Q23" i="11"/>
  <c r="P54" i="11"/>
  <c r="H31" i="11"/>
  <c r="H37" i="11"/>
  <c r="H60" i="11"/>
  <c r="G98" i="11"/>
  <c r="G104" i="11"/>
  <c r="G112" i="11"/>
  <c r="R59" i="11"/>
  <c r="H64" i="10"/>
  <c r="I29" i="10"/>
  <c r="I31" i="10" s="1"/>
  <c r="I33" i="10" s="1"/>
  <c r="I34" i="10" s="1"/>
  <c r="P62" i="10"/>
  <c r="P54" i="10"/>
  <c r="Q23" i="10"/>
  <c r="U36" i="10"/>
  <c r="G98" i="10"/>
  <c r="G104" i="10"/>
  <c r="G112" i="10"/>
  <c r="R59" i="10"/>
  <c r="R53" i="8"/>
  <c r="J31" i="8"/>
  <c r="J54" i="8"/>
  <c r="J37" i="8"/>
  <c r="P56" i="8"/>
  <c r="P48" i="8"/>
  <c r="P50" i="8" s="1"/>
  <c r="Q23" i="8"/>
  <c r="G92" i="8"/>
  <c r="G98" i="8"/>
  <c r="G106" i="8"/>
  <c r="Q36" i="8"/>
  <c r="J33" i="6"/>
  <c r="J34" i="6" s="1"/>
  <c r="J39" i="6" s="1"/>
  <c r="J58" i="6" s="1"/>
  <c r="K29" i="6" s="1"/>
  <c r="R53" i="6"/>
  <c r="F110" i="6"/>
  <c r="G90" i="6"/>
  <c r="Q56" i="6"/>
  <c r="Q48" i="6"/>
  <c r="Q50" i="6" s="1"/>
  <c r="R23" i="6"/>
  <c r="R36" i="6"/>
  <c r="G94" i="7"/>
  <c r="G95" i="7"/>
  <c r="P56" i="7"/>
  <c r="Q23" i="7"/>
  <c r="G108" i="7"/>
  <c r="Q50" i="7"/>
  <c r="R36" i="7"/>
  <c r="J33" i="7"/>
  <c r="J34" i="7" s="1"/>
  <c r="J39" i="7" s="1"/>
  <c r="J58" i="7" s="1"/>
  <c r="K29" i="7" s="1"/>
  <c r="S53" i="7"/>
  <c r="F147" i="3"/>
  <c r="G127" i="3"/>
  <c r="S70" i="3"/>
  <c r="G79" i="3"/>
  <c r="G80" i="3" s="1"/>
  <c r="G28" i="3"/>
  <c r="S59" i="11" l="1"/>
  <c r="S36" i="11"/>
  <c r="H33" i="11"/>
  <c r="H34" i="11" s="1"/>
  <c r="H39" i="11" s="1"/>
  <c r="G114" i="11"/>
  <c r="Q62" i="11"/>
  <c r="Q54" i="11"/>
  <c r="R23" i="11"/>
  <c r="G100" i="11"/>
  <c r="G101" i="11" s="1"/>
  <c r="I60" i="10"/>
  <c r="I37" i="10"/>
  <c r="I39" i="10" s="1"/>
  <c r="I56" i="10" s="1"/>
  <c r="V36" i="10"/>
  <c r="G100" i="10"/>
  <c r="G101" i="10" s="1"/>
  <c r="S59" i="10"/>
  <c r="Q62" i="10"/>
  <c r="Q54" i="10"/>
  <c r="R23" i="10"/>
  <c r="G114" i="10"/>
  <c r="G108" i="8"/>
  <c r="J33" i="8"/>
  <c r="J34" i="8" s="1"/>
  <c r="J39" i="8" s="1"/>
  <c r="J58" i="8" s="1"/>
  <c r="K29" i="8" s="1"/>
  <c r="G94" i="8"/>
  <c r="G95" i="8"/>
  <c r="R36" i="8"/>
  <c r="Q56" i="8"/>
  <c r="Q48" i="8"/>
  <c r="Q50" i="8" s="1"/>
  <c r="R23" i="8"/>
  <c r="S53" i="8"/>
  <c r="K31" i="6"/>
  <c r="K54" i="6"/>
  <c r="K37" i="6"/>
  <c r="G92" i="6"/>
  <c r="G106" i="6"/>
  <c r="G98" i="6"/>
  <c r="S53" i="6"/>
  <c r="S36" i="6"/>
  <c r="R56" i="6"/>
  <c r="R48" i="6"/>
  <c r="R50" i="6" s="1"/>
  <c r="S23" i="6"/>
  <c r="K31" i="7"/>
  <c r="K54" i="7"/>
  <c r="K37" i="7"/>
  <c r="R50" i="7"/>
  <c r="G100" i="7"/>
  <c r="T53" i="7"/>
  <c r="Q56" i="7"/>
  <c r="R23" i="7"/>
  <c r="S36" i="7"/>
  <c r="G129" i="3"/>
  <c r="G135" i="3"/>
  <c r="G143" i="3"/>
  <c r="T70" i="3"/>
  <c r="G85" i="3"/>
  <c r="G29" i="3"/>
  <c r="G106" i="11" l="1"/>
  <c r="H56" i="11"/>
  <c r="I29" i="11" s="1"/>
  <c r="R62" i="11"/>
  <c r="R54" i="11"/>
  <c r="S23" i="11"/>
  <c r="T36" i="11"/>
  <c r="T59" i="11"/>
  <c r="I64" i="10"/>
  <c r="J29" i="10"/>
  <c r="J31" i="10" s="1"/>
  <c r="J33" i="10" s="1"/>
  <c r="J34" i="10" s="1"/>
  <c r="G106" i="10"/>
  <c r="W36" i="10"/>
  <c r="R62" i="10"/>
  <c r="R54" i="10"/>
  <c r="S23" i="10"/>
  <c r="T59" i="10"/>
  <c r="K31" i="8"/>
  <c r="K54" i="8"/>
  <c r="K37" i="8"/>
  <c r="R56" i="8"/>
  <c r="R48" i="8"/>
  <c r="R50" i="8" s="1"/>
  <c r="S23" i="8"/>
  <c r="S36" i="8"/>
  <c r="G100" i="8"/>
  <c r="T53" i="8"/>
  <c r="G94" i="6"/>
  <c r="G95" i="6"/>
  <c r="S48" i="6"/>
  <c r="S50" i="6" s="1"/>
  <c r="S56" i="6"/>
  <c r="T23" i="6"/>
  <c r="G108" i="6"/>
  <c r="T36" i="6"/>
  <c r="K33" i="6"/>
  <c r="K34" i="6" s="1"/>
  <c r="K39" i="6" s="1"/>
  <c r="K58" i="6" s="1"/>
  <c r="L29" i="6" s="1"/>
  <c r="T53" i="6"/>
  <c r="T36" i="7"/>
  <c r="K33" i="7"/>
  <c r="K34" i="7" s="1"/>
  <c r="K39" i="7" s="1"/>
  <c r="K58" i="7" s="1"/>
  <c r="L29" i="7" s="1"/>
  <c r="G110" i="7"/>
  <c r="H90" i="7"/>
  <c r="S50" i="7"/>
  <c r="R56" i="7"/>
  <c r="S23" i="7"/>
  <c r="U53" i="7"/>
  <c r="G145" i="3"/>
  <c r="G131" i="3"/>
  <c r="G132" i="3" s="1"/>
  <c r="G95" i="3"/>
  <c r="H75" i="3"/>
  <c r="G34" i="3"/>
  <c r="S54" i="11" l="1"/>
  <c r="S62" i="11"/>
  <c r="T23" i="11"/>
  <c r="I31" i="11"/>
  <c r="I60" i="11"/>
  <c r="I37" i="11"/>
  <c r="U36" i="11"/>
  <c r="U59" i="11"/>
  <c r="H64" i="11"/>
  <c r="G116" i="11"/>
  <c r="H96" i="11"/>
  <c r="J37" i="10"/>
  <c r="J39" i="10" s="1"/>
  <c r="J60" i="10"/>
  <c r="S54" i="10"/>
  <c r="T23" i="10"/>
  <c r="S62" i="10"/>
  <c r="X36" i="10"/>
  <c r="U59" i="10"/>
  <c r="G116" i="10"/>
  <c r="H96" i="10"/>
  <c r="G110" i="8"/>
  <c r="H90" i="8"/>
  <c r="S48" i="8"/>
  <c r="S50" i="8" s="1"/>
  <c r="S56" i="8"/>
  <c r="T23" i="8"/>
  <c r="U53" i="8"/>
  <c r="K33" i="8"/>
  <c r="K34" i="8" s="1"/>
  <c r="K39" i="8" s="1"/>
  <c r="K58" i="8" s="1"/>
  <c r="L29" i="8" s="1"/>
  <c r="T36" i="8"/>
  <c r="L31" i="6"/>
  <c r="L54" i="6"/>
  <c r="L37" i="6"/>
  <c r="U53" i="6"/>
  <c r="T48" i="6"/>
  <c r="T50" i="6" s="1"/>
  <c r="T56" i="6"/>
  <c r="U23" i="6"/>
  <c r="G100" i="6"/>
  <c r="U36" i="6"/>
  <c r="L31" i="7"/>
  <c r="L54" i="7"/>
  <c r="L37" i="7"/>
  <c r="V53" i="7"/>
  <c r="T50" i="7"/>
  <c r="H92" i="7"/>
  <c r="H106" i="7"/>
  <c r="H108" i="7" s="1"/>
  <c r="H98" i="7"/>
  <c r="S56" i="7"/>
  <c r="T23" i="7"/>
  <c r="U36" i="7"/>
  <c r="G137" i="3"/>
  <c r="H77" i="3"/>
  <c r="H91" i="3"/>
  <c r="H93" i="3" s="1"/>
  <c r="H83" i="3"/>
  <c r="H24" i="3"/>
  <c r="G44" i="3"/>
  <c r="V36" i="11" l="1"/>
  <c r="H98" i="11"/>
  <c r="H104" i="11"/>
  <c r="H112" i="11"/>
  <c r="H114" i="11" s="1"/>
  <c r="V59" i="11"/>
  <c r="T54" i="11"/>
  <c r="T62" i="11"/>
  <c r="U23" i="11"/>
  <c r="I33" i="11"/>
  <c r="I34" i="11" s="1"/>
  <c r="I39" i="11" s="1"/>
  <c r="J56" i="10"/>
  <c r="Y36" i="10"/>
  <c r="V59" i="10"/>
  <c r="T62" i="10"/>
  <c r="T54" i="10"/>
  <c r="U23" i="10"/>
  <c r="H98" i="10"/>
  <c r="H104" i="10"/>
  <c r="H112" i="10"/>
  <c r="H114" i="10" s="1"/>
  <c r="U36" i="8"/>
  <c r="H92" i="8"/>
  <c r="H98" i="8"/>
  <c r="H106" i="8"/>
  <c r="H108" i="8" s="1"/>
  <c r="L31" i="8"/>
  <c r="L54" i="8"/>
  <c r="L37" i="8"/>
  <c r="V53" i="8"/>
  <c r="T56" i="8"/>
  <c r="T48" i="8"/>
  <c r="T50" i="8" s="1"/>
  <c r="U23" i="8"/>
  <c r="V53" i="6"/>
  <c r="V36" i="6"/>
  <c r="G110" i="6"/>
  <c r="H90" i="6"/>
  <c r="U56" i="6"/>
  <c r="V23" i="6"/>
  <c r="U48" i="6"/>
  <c r="U50" i="6" s="1"/>
  <c r="L33" i="6"/>
  <c r="L34" i="6" s="1"/>
  <c r="L39" i="6" s="1"/>
  <c r="L58" i="6" s="1"/>
  <c r="M29" i="6" s="1"/>
  <c r="U50" i="7"/>
  <c r="H94" i="7"/>
  <c r="H95" i="7" s="1"/>
  <c r="V36" i="7"/>
  <c r="T56" i="7"/>
  <c r="U23" i="7"/>
  <c r="W53" i="7"/>
  <c r="L33" i="7"/>
  <c r="L34" i="7" s="1"/>
  <c r="L39" i="7" s="1"/>
  <c r="L58" i="7" s="1"/>
  <c r="M29" i="7" s="1"/>
  <c r="G147" i="3"/>
  <c r="H127" i="3"/>
  <c r="H79" i="3"/>
  <c r="H80" i="3" s="1"/>
  <c r="H26" i="3"/>
  <c r="H32" i="3"/>
  <c r="H40" i="3"/>
  <c r="H42" i="3" s="1"/>
  <c r="I56" i="11" l="1"/>
  <c r="J29" i="11" s="1"/>
  <c r="U62" i="11"/>
  <c r="U54" i="11"/>
  <c r="V23" i="11"/>
  <c r="W59" i="11"/>
  <c r="H101" i="11"/>
  <c r="H100" i="11"/>
  <c r="W36" i="11"/>
  <c r="J64" i="10"/>
  <c r="K29" i="10"/>
  <c r="K31" i="10" s="1"/>
  <c r="K33" i="10" s="1"/>
  <c r="K34" i="10" s="1"/>
  <c r="W59" i="10"/>
  <c r="H100" i="10"/>
  <c r="H101" i="10" s="1"/>
  <c r="U54" i="10"/>
  <c r="U62" i="10"/>
  <c r="V23" i="10"/>
  <c r="Z36" i="10"/>
  <c r="L33" i="8"/>
  <c r="L34" i="8" s="1"/>
  <c r="L39" i="8" s="1"/>
  <c r="L58" i="8" s="1"/>
  <c r="M29" i="8" s="1"/>
  <c r="H94" i="8"/>
  <c r="H95" i="8" s="1"/>
  <c r="V36" i="8"/>
  <c r="U48" i="8"/>
  <c r="U50" i="8" s="1"/>
  <c r="V23" i="8"/>
  <c r="U56" i="8"/>
  <c r="W53" i="8"/>
  <c r="M31" i="6"/>
  <c r="M54" i="6"/>
  <c r="M37" i="6"/>
  <c r="V48" i="6"/>
  <c r="V50" i="6" s="1"/>
  <c r="W23" i="6"/>
  <c r="V56" i="6"/>
  <c r="H92" i="6"/>
  <c r="H106" i="6"/>
  <c r="H98" i="6"/>
  <c r="W36" i="6"/>
  <c r="W53" i="6"/>
  <c r="M31" i="7"/>
  <c r="M54" i="7"/>
  <c r="M37" i="7"/>
  <c r="H100" i="7"/>
  <c r="V23" i="7"/>
  <c r="U56" i="7"/>
  <c r="W36" i="7"/>
  <c r="V50" i="7"/>
  <c r="X53" i="7"/>
  <c r="H129" i="3"/>
  <c r="H143" i="3"/>
  <c r="H135" i="3"/>
  <c r="H85" i="3"/>
  <c r="H28" i="3"/>
  <c r="H29" i="3" s="1"/>
  <c r="X59" i="11" l="1"/>
  <c r="H106" i="11"/>
  <c r="J31" i="11"/>
  <c r="J60" i="11"/>
  <c r="J37" i="11"/>
  <c r="V62" i="11"/>
  <c r="V54" i="11"/>
  <c r="W23" i="11"/>
  <c r="X36" i="11"/>
  <c r="I64" i="11"/>
  <c r="K60" i="10"/>
  <c r="K37" i="10"/>
  <c r="K39" i="10" s="1"/>
  <c r="K56" i="10" s="1"/>
  <c r="H106" i="10"/>
  <c r="X59" i="10"/>
  <c r="AA36" i="10"/>
  <c r="V62" i="10"/>
  <c r="W23" i="10"/>
  <c r="V54" i="10"/>
  <c r="H100" i="8"/>
  <c r="M31" i="8"/>
  <c r="M54" i="8"/>
  <c r="M37" i="8"/>
  <c r="X53" i="8"/>
  <c r="V56" i="8"/>
  <c r="V48" i="8"/>
  <c r="V50" i="8" s="1"/>
  <c r="W23" i="8"/>
  <c r="W36" i="8"/>
  <c r="H94" i="6"/>
  <c r="H95" i="6" s="1"/>
  <c r="W56" i="6"/>
  <c r="X23" i="6"/>
  <c r="W48" i="6"/>
  <c r="W50" i="6" s="1"/>
  <c r="X53" i="6"/>
  <c r="X36" i="6"/>
  <c r="H108" i="6"/>
  <c r="M33" i="6"/>
  <c r="M34" i="6" s="1"/>
  <c r="M39" i="6" s="1"/>
  <c r="M58" i="6" s="1"/>
  <c r="N29" i="6" s="1"/>
  <c r="W50" i="7"/>
  <c r="Y53" i="7"/>
  <c r="W23" i="7"/>
  <c r="V56" i="7"/>
  <c r="H110" i="7"/>
  <c r="I90" i="7"/>
  <c r="X36" i="7"/>
  <c r="M33" i="7"/>
  <c r="M34" i="7" s="1"/>
  <c r="M39" i="7" s="1"/>
  <c r="M58" i="7" s="1"/>
  <c r="N29" i="7" s="1"/>
  <c r="H145" i="3"/>
  <c r="H131" i="3"/>
  <c r="H132" i="3" s="1"/>
  <c r="H95" i="3"/>
  <c r="I75" i="3"/>
  <c r="H34" i="3"/>
  <c r="J33" i="11" l="1"/>
  <c r="J34" i="11" s="1"/>
  <c r="J39" i="11" s="1"/>
  <c r="Y36" i="11"/>
  <c r="H116" i="11"/>
  <c r="I96" i="11"/>
  <c r="W54" i="11"/>
  <c r="X23" i="11"/>
  <c r="W62" i="11"/>
  <c r="Y59" i="11"/>
  <c r="K64" i="10"/>
  <c r="L29" i="10"/>
  <c r="L31" i="10" s="1"/>
  <c r="L33" i="10" s="1"/>
  <c r="L34" i="10" s="1"/>
  <c r="W62" i="10"/>
  <c r="W54" i="10"/>
  <c r="X23" i="10"/>
  <c r="AB36" i="10"/>
  <c r="Y59" i="10"/>
  <c r="H116" i="10"/>
  <c r="I96" i="10"/>
  <c r="Y53" i="8"/>
  <c r="X36" i="8"/>
  <c r="M33" i="8"/>
  <c r="M34" i="8" s="1"/>
  <c r="M39" i="8" s="1"/>
  <c r="M58" i="8" s="1"/>
  <c r="N29" i="8" s="1"/>
  <c r="W56" i="8"/>
  <c r="X23" i="8"/>
  <c r="W48" i="8"/>
  <c r="W50" i="8" s="1"/>
  <c r="H110" i="8"/>
  <c r="I90" i="8"/>
  <c r="H100" i="6"/>
  <c r="Y53" i="6"/>
  <c r="X56" i="6"/>
  <c r="X48" i="6"/>
  <c r="X50" i="6" s="1"/>
  <c r="Y23" i="6"/>
  <c r="N31" i="6"/>
  <c r="N54" i="6"/>
  <c r="N37" i="6"/>
  <c r="Y36" i="6"/>
  <c r="N31" i="7"/>
  <c r="N54" i="7"/>
  <c r="N37" i="7"/>
  <c r="W56" i="7"/>
  <c r="X23" i="7"/>
  <c r="Z53" i="7"/>
  <c r="I92" i="7"/>
  <c r="I106" i="7"/>
  <c r="I108" i="7" s="1"/>
  <c r="I98" i="7"/>
  <c r="Y36" i="7"/>
  <c r="X50" i="7"/>
  <c r="H137" i="3"/>
  <c r="I77" i="3"/>
  <c r="I91" i="3"/>
  <c r="I83" i="3"/>
  <c r="I24" i="3"/>
  <c r="H44" i="3"/>
  <c r="J56" i="11" l="1"/>
  <c r="K29" i="11" s="1"/>
  <c r="I98" i="11"/>
  <c r="I104" i="11"/>
  <c r="I112" i="11"/>
  <c r="I114" i="11" s="1"/>
  <c r="X62" i="11"/>
  <c r="Y23" i="11"/>
  <c r="X54" i="11"/>
  <c r="Z36" i="11"/>
  <c r="Z59" i="11"/>
  <c r="L60" i="10"/>
  <c r="L37" i="10"/>
  <c r="L39" i="10" s="1"/>
  <c r="AC36" i="10"/>
  <c r="I98" i="10"/>
  <c r="I104" i="10"/>
  <c r="I112" i="10"/>
  <c r="I114" i="10" s="1"/>
  <c r="X62" i="10"/>
  <c r="X54" i="10"/>
  <c r="Y23" i="10"/>
  <c r="Z59" i="10"/>
  <c r="N31" i="8"/>
  <c r="N54" i="8"/>
  <c r="N37" i="8"/>
  <c r="X56" i="8"/>
  <c r="X48" i="8"/>
  <c r="X50" i="8" s="1"/>
  <c r="Y23" i="8"/>
  <c r="Y36" i="8"/>
  <c r="I92" i="8"/>
  <c r="I106" i="8"/>
  <c r="I108" i="8" s="1"/>
  <c r="I98" i="8"/>
  <c r="Z53" i="8"/>
  <c r="N33" i="6"/>
  <c r="N34" i="6"/>
  <c r="N39" i="6" s="1"/>
  <c r="N58" i="6" s="1"/>
  <c r="O29" i="6" s="1"/>
  <c r="Y56" i="6"/>
  <c r="Y48" i="6"/>
  <c r="Y50" i="6" s="1"/>
  <c r="Z23" i="6"/>
  <c r="Z53" i="6"/>
  <c r="H110" i="6"/>
  <c r="I90" i="6"/>
  <c r="Z36" i="6"/>
  <c r="Y50" i="7"/>
  <c r="AA53" i="7"/>
  <c r="X56" i="7"/>
  <c r="Y23" i="7"/>
  <c r="Z36" i="7"/>
  <c r="N33" i="7"/>
  <c r="N34" i="7" s="1"/>
  <c r="N39" i="7" s="1"/>
  <c r="N58" i="7" s="1"/>
  <c r="O29" i="7" s="1"/>
  <c r="I94" i="7"/>
  <c r="I95" i="7" s="1"/>
  <c r="I100" i="7" s="1"/>
  <c r="I127" i="3"/>
  <c r="H147" i="3"/>
  <c r="I93" i="3"/>
  <c r="I79" i="3"/>
  <c r="I80" i="3" s="1"/>
  <c r="I85" i="3" s="1"/>
  <c r="I26" i="3"/>
  <c r="I32" i="3"/>
  <c r="I40" i="3"/>
  <c r="Y62" i="11" l="1"/>
  <c r="Y54" i="11"/>
  <c r="Z23" i="11"/>
  <c r="AA59" i="11"/>
  <c r="AA36" i="11"/>
  <c r="K31" i="11"/>
  <c r="K37" i="11"/>
  <c r="K60" i="11"/>
  <c r="I100" i="11"/>
  <c r="I101" i="11" s="1"/>
  <c r="I106" i="11" s="1"/>
  <c r="J64" i="11"/>
  <c r="L56" i="10"/>
  <c r="AA59" i="10"/>
  <c r="AD36" i="10"/>
  <c r="I100" i="10"/>
  <c r="I101" i="10" s="1"/>
  <c r="I106" i="10" s="1"/>
  <c r="Y62" i="10"/>
  <c r="Y54" i="10"/>
  <c r="Z23" i="10"/>
  <c r="Z36" i="8"/>
  <c r="AA53" i="8"/>
  <c r="Y56" i="8"/>
  <c r="Y48" i="8"/>
  <c r="Y50" i="8" s="1"/>
  <c r="Z23" i="8"/>
  <c r="I95" i="8"/>
  <c r="I100" i="8" s="1"/>
  <c r="I94" i="8"/>
  <c r="N33" i="8"/>
  <c r="N34" i="8" s="1"/>
  <c r="N39" i="8" s="1"/>
  <c r="N58" i="8" s="1"/>
  <c r="O29" i="8" s="1"/>
  <c r="AA53" i="6"/>
  <c r="Z56" i="6"/>
  <c r="Z48" i="6"/>
  <c r="Z50" i="6" s="1"/>
  <c r="AA23" i="6"/>
  <c r="AA36" i="6"/>
  <c r="O31" i="6"/>
  <c r="O37" i="6"/>
  <c r="O54" i="6"/>
  <c r="I92" i="6"/>
  <c r="I106" i="6"/>
  <c r="I98" i="6"/>
  <c r="I110" i="7"/>
  <c r="J90" i="7"/>
  <c r="Z50" i="7"/>
  <c r="AA36" i="7"/>
  <c r="Y56" i="7"/>
  <c r="Z23" i="7"/>
  <c r="AB53" i="7"/>
  <c r="O31" i="7"/>
  <c r="O54" i="7"/>
  <c r="O37" i="7"/>
  <c r="I129" i="3"/>
  <c r="I135" i="3"/>
  <c r="I143" i="3"/>
  <c r="I145" i="3" s="1"/>
  <c r="V145" i="3" s="1"/>
  <c r="I95" i="3"/>
  <c r="J75" i="3"/>
  <c r="I42" i="3"/>
  <c r="V42" i="3" s="1"/>
  <c r="I28" i="3"/>
  <c r="I29" i="3" s="1"/>
  <c r="I34" i="3" s="1"/>
  <c r="I116" i="11" l="1"/>
  <c r="J96" i="11"/>
  <c r="AB36" i="11"/>
  <c r="AB59" i="11"/>
  <c r="Z62" i="11"/>
  <c r="Z54" i="11"/>
  <c r="AA23" i="11"/>
  <c r="K33" i="11"/>
  <c r="K34" i="11"/>
  <c r="K39" i="11" s="1"/>
  <c r="L64" i="10"/>
  <c r="M29" i="10"/>
  <c r="M31" i="10" s="1"/>
  <c r="M33" i="10" s="1"/>
  <c r="M34" i="10" s="1"/>
  <c r="I116" i="10"/>
  <c r="J96" i="10"/>
  <c r="AE36" i="10"/>
  <c r="Z62" i="10"/>
  <c r="Z54" i="10"/>
  <c r="AA23" i="10"/>
  <c r="AB59" i="10"/>
  <c r="O31" i="8"/>
  <c r="O54" i="8"/>
  <c r="O37" i="8"/>
  <c r="Z56" i="8"/>
  <c r="Z48" i="8"/>
  <c r="Z50" i="8" s="1"/>
  <c r="AA23" i="8"/>
  <c r="I110" i="8"/>
  <c r="J90" i="8"/>
  <c r="AB53" i="8"/>
  <c r="AA36" i="8"/>
  <c r="AA48" i="6"/>
  <c r="AA50" i="6" s="1"/>
  <c r="AA56" i="6"/>
  <c r="AB23" i="6"/>
  <c r="AB36" i="6"/>
  <c r="I108" i="6"/>
  <c r="I94" i="6"/>
  <c r="I95" i="6" s="1"/>
  <c r="I100" i="6" s="1"/>
  <c r="O33" i="6"/>
  <c r="O34" i="6" s="1"/>
  <c r="O39" i="6" s="1"/>
  <c r="O58" i="6" s="1"/>
  <c r="P29" i="6" s="1"/>
  <c r="AB53" i="6"/>
  <c r="AB36" i="7"/>
  <c r="AA50" i="7"/>
  <c r="O33" i="7"/>
  <c r="O34" i="7" s="1"/>
  <c r="O39" i="7" s="1"/>
  <c r="O58" i="7" s="1"/>
  <c r="P29" i="7" s="1"/>
  <c r="J92" i="7"/>
  <c r="J106" i="7"/>
  <c r="J108" i="7" s="1"/>
  <c r="J98" i="7"/>
  <c r="Z56" i="7"/>
  <c r="AA23" i="7"/>
  <c r="AC53" i="7"/>
  <c r="I131" i="3"/>
  <c r="I132" i="3" s="1"/>
  <c r="I137" i="3" s="1"/>
  <c r="J77" i="3"/>
  <c r="J91" i="3"/>
  <c r="J93" i="3" s="1"/>
  <c r="J83" i="3"/>
  <c r="I44" i="3"/>
  <c r="J24" i="3"/>
  <c r="AC59" i="11" l="1"/>
  <c r="AC36" i="11"/>
  <c r="K56" i="11"/>
  <c r="L29" i="11" s="1"/>
  <c r="K64" i="11"/>
  <c r="J98" i="11"/>
  <c r="J104" i="11"/>
  <c r="J112" i="11"/>
  <c r="J114" i="11" s="1"/>
  <c r="AA54" i="11"/>
  <c r="AA62" i="11"/>
  <c r="AB23" i="11"/>
  <c r="M60" i="10"/>
  <c r="M37" i="10"/>
  <c r="M39" i="10" s="1"/>
  <c r="M56" i="10" s="1"/>
  <c r="AC59" i="10"/>
  <c r="AF36" i="10"/>
  <c r="J98" i="10"/>
  <c r="J112" i="10"/>
  <c r="J114" i="10" s="1"/>
  <c r="J104" i="10"/>
  <c r="AA54" i="10"/>
  <c r="AA62" i="10"/>
  <c r="AB23" i="10"/>
  <c r="AA48" i="8"/>
  <c r="AA50" i="8" s="1"/>
  <c r="AA56" i="8"/>
  <c r="AB23" i="8"/>
  <c r="AB36" i="8"/>
  <c r="AC53" i="8"/>
  <c r="O33" i="8"/>
  <c r="O34" i="8" s="1"/>
  <c r="O39" i="8" s="1"/>
  <c r="O58" i="8" s="1"/>
  <c r="P29" i="8" s="1"/>
  <c r="J92" i="8"/>
  <c r="J98" i="8"/>
  <c r="J106" i="8"/>
  <c r="J108" i="8" s="1"/>
  <c r="P31" i="6"/>
  <c r="P37" i="6"/>
  <c r="P54" i="6"/>
  <c r="I110" i="6"/>
  <c r="J90" i="6"/>
  <c r="AC36" i="6"/>
  <c r="AC53" i="6"/>
  <c r="AB56" i="6"/>
  <c r="AB48" i="6"/>
  <c r="AB50" i="6" s="1"/>
  <c r="AC23" i="6"/>
  <c r="P31" i="7"/>
  <c r="P54" i="7"/>
  <c r="P37" i="7"/>
  <c r="AB50" i="7"/>
  <c r="AC50" i="7"/>
  <c r="J94" i="7"/>
  <c r="J95" i="7" s="1"/>
  <c r="J100" i="7" s="1"/>
  <c r="AD53" i="7"/>
  <c r="AA56" i="7"/>
  <c r="AB23" i="7"/>
  <c r="AC36" i="7"/>
  <c r="I147" i="3"/>
  <c r="J127" i="3"/>
  <c r="J79" i="3"/>
  <c r="J80" i="3" s="1"/>
  <c r="J85" i="3" s="1"/>
  <c r="J26" i="3"/>
  <c r="J32" i="3"/>
  <c r="J40" i="3"/>
  <c r="AB62" i="11" l="1"/>
  <c r="AB54" i="11"/>
  <c r="AC23" i="11"/>
  <c r="L31" i="11"/>
  <c r="L37" i="11"/>
  <c r="L60" i="11"/>
  <c r="AD36" i="11"/>
  <c r="J100" i="11"/>
  <c r="J101" i="11" s="1"/>
  <c r="J106" i="11" s="1"/>
  <c r="AD59" i="11"/>
  <c r="M64" i="10"/>
  <c r="N29" i="10"/>
  <c r="N37" i="10" s="1"/>
  <c r="N31" i="10"/>
  <c r="N33" i="10" s="1"/>
  <c r="N34" i="10" s="1"/>
  <c r="AB62" i="10"/>
  <c r="AB54" i="10"/>
  <c r="AC23" i="10"/>
  <c r="AD59" i="10"/>
  <c r="AG36" i="10"/>
  <c r="J100" i="10"/>
  <c r="J101" i="10" s="1"/>
  <c r="J106" i="10" s="1"/>
  <c r="P31" i="8"/>
  <c r="P54" i="8"/>
  <c r="P37" i="8"/>
  <c r="AD53" i="8"/>
  <c r="AB56" i="8"/>
  <c r="AB48" i="8"/>
  <c r="AB50" i="8" s="1"/>
  <c r="AC23" i="8"/>
  <c r="AC36" i="8"/>
  <c r="J94" i="8"/>
  <c r="J95" i="8" s="1"/>
  <c r="J100" i="8" s="1"/>
  <c r="AD36" i="6"/>
  <c r="J92" i="6"/>
  <c r="J106" i="6"/>
  <c r="J108" i="6" s="1"/>
  <c r="J98" i="6"/>
  <c r="AC56" i="6"/>
  <c r="AD23" i="6"/>
  <c r="AC48" i="6"/>
  <c r="AC50" i="6" s="1"/>
  <c r="P33" i="6"/>
  <c r="P34" i="6" s="1"/>
  <c r="P39" i="6" s="1"/>
  <c r="P58" i="6" s="1"/>
  <c r="Q29" i="6" s="1"/>
  <c r="AD53" i="6"/>
  <c r="J110" i="7"/>
  <c r="K90" i="7"/>
  <c r="AB56" i="7"/>
  <c r="AC23" i="7"/>
  <c r="AD36" i="7"/>
  <c r="AE53" i="7"/>
  <c r="P33" i="7"/>
  <c r="P34" i="7" s="1"/>
  <c r="P39" i="7" s="1"/>
  <c r="P58" i="7" s="1"/>
  <c r="Q29" i="7" s="1"/>
  <c r="J129" i="3"/>
  <c r="J143" i="3"/>
  <c r="J135" i="3"/>
  <c r="J95" i="3"/>
  <c r="K75" i="3"/>
  <c r="J28" i="3"/>
  <c r="J29" i="3" s="1"/>
  <c r="J34" i="3" s="1"/>
  <c r="N60" i="10" l="1"/>
  <c r="J116" i="11"/>
  <c r="K96" i="11"/>
  <c r="L33" i="11"/>
  <c r="L34" i="11" s="1"/>
  <c r="L39" i="11" s="1"/>
  <c r="AC62" i="11"/>
  <c r="AD23" i="11"/>
  <c r="AC54" i="11"/>
  <c r="AE59" i="11"/>
  <c r="AE36" i="11"/>
  <c r="N39" i="10"/>
  <c r="N56" i="10" s="1"/>
  <c r="J116" i="10"/>
  <c r="K96" i="10"/>
  <c r="AH36" i="10"/>
  <c r="AE59" i="10"/>
  <c r="AC62" i="10"/>
  <c r="AC54" i="10"/>
  <c r="AD23" i="10"/>
  <c r="J110" i="8"/>
  <c r="K90" i="8"/>
  <c r="AE53" i="8"/>
  <c r="AD36" i="8"/>
  <c r="P33" i="8"/>
  <c r="P34" i="8" s="1"/>
  <c r="P39" i="8" s="1"/>
  <c r="P58" i="8" s="1"/>
  <c r="Q29" i="8" s="1"/>
  <c r="AC48" i="8"/>
  <c r="AC50" i="8" s="1"/>
  <c r="AC56" i="8"/>
  <c r="AD23" i="8"/>
  <c r="Q31" i="6"/>
  <c r="Q37" i="6"/>
  <c r="Q54" i="6"/>
  <c r="AD48" i="6"/>
  <c r="AD50" i="6" s="1"/>
  <c r="AE23" i="6"/>
  <c r="AD56" i="6"/>
  <c r="AE53" i="6"/>
  <c r="J95" i="6"/>
  <c r="J100" i="6" s="1"/>
  <c r="J94" i="6"/>
  <c r="AE36" i="6"/>
  <c r="Q31" i="7"/>
  <c r="Q54" i="7"/>
  <c r="Q37" i="7"/>
  <c r="AF53" i="7"/>
  <c r="K92" i="7"/>
  <c r="K106" i="7"/>
  <c r="K108" i="7" s="1"/>
  <c r="K98" i="7"/>
  <c r="AE36" i="7"/>
  <c r="AD23" i="7"/>
  <c r="AC56" i="7"/>
  <c r="J131" i="3"/>
  <c r="J132" i="3" s="1"/>
  <c r="J137" i="3" s="1"/>
  <c r="K77" i="3"/>
  <c r="K91" i="3"/>
  <c r="K93" i="3" s="1"/>
  <c r="K83" i="3"/>
  <c r="J44" i="3"/>
  <c r="K24" i="3"/>
  <c r="L56" i="11" l="1"/>
  <c r="M29" i="11" s="1"/>
  <c r="AF59" i="11"/>
  <c r="AD62" i="11"/>
  <c r="AD54" i="11"/>
  <c r="AE23" i="11"/>
  <c r="AF36" i="11"/>
  <c r="K98" i="11"/>
  <c r="K104" i="11"/>
  <c r="K112" i="11"/>
  <c r="K114" i="11" s="1"/>
  <c r="N64" i="10"/>
  <c r="O29" i="10"/>
  <c r="O31" i="10" s="1"/>
  <c r="O33" i="10" s="1"/>
  <c r="O34" i="10" s="1"/>
  <c r="O37" i="10"/>
  <c r="AI36" i="10"/>
  <c r="AD62" i="10"/>
  <c r="AE23" i="10"/>
  <c r="AD54" i="10"/>
  <c r="K98" i="10"/>
  <c r="K112" i="10"/>
  <c r="K114" i="10" s="1"/>
  <c r="K104" i="10"/>
  <c r="AF59" i="10"/>
  <c r="Q31" i="8"/>
  <c r="Q54" i="8"/>
  <c r="Q37" i="8"/>
  <c r="AD56" i="8"/>
  <c r="AD48" i="8"/>
  <c r="AD50" i="8" s="1"/>
  <c r="AE23" i="8"/>
  <c r="AF53" i="8"/>
  <c r="K92" i="8"/>
  <c r="K98" i="8"/>
  <c r="K106" i="8"/>
  <c r="K108" i="8" s="1"/>
  <c r="AE36" i="8"/>
  <c r="AE56" i="6"/>
  <c r="AF23" i="6"/>
  <c r="AE48" i="6"/>
  <c r="AE50" i="6" s="1"/>
  <c r="AF36" i="6"/>
  <c r="J110" i="6"/>
  <c r="K90" i="6"/>
  <c r="Q33" i="6"/>
  <c r="Q34" i="6" s="1"/>
  <c r="Q39" i="6" s="1"/>
  <c r="Q58" i="6" s="1"/>
  <c r="R29" i="6" s="1"/>
  <c r="AF53" i="6"/>
  <c r="K94" i="7"/>
  <c r="K95" i="7" s="1"/>
  <c r="K100" i="7" s="1"/>
  <c r="AD56" i="7"/>
  <c r="AE23" i="7"/>
  <c r="AG53" i="7"/>
  <c r="AF36" i="7"/>
  <c r="Q33" i="7"/>
  <c r="Q34" i="7" s="1"/>
  <c r="Q39" i="7" s="1"/>
  <c r="Q58" i="7" s="1"/>
  <c r="R29" i="7" s="1"/>
  <c r="J147" i="3"/>
  <c r="K127" i="3"/>
  <c r="K79" i="3"/>
  <c r="K80" i="3" s="1"/>
  <c r="K85" i="3" s="1"/>
  <c r="K26" i="3"/>
  <c r="K32" i="3"/>
  <c r="K40" i="3"/>
  <c r="O60" i="10" l="1"/>
  <c r="AE54" i="11"/>
  <c r="AE62" i="11"/>
  <c r="AF23" i="11"/>
  <c r="L64" i="11"/>
  <c r="AG59" i="11"/>
  <c r="K100" i="11"/>
  <c r="K101" i="11" s="1"/>
  <c r="K106" i="11" s="1"/>
  <c r="AG36" i="11"/>
  <c r="M31" i="11"/>
  <c r="M60" i="11"/>
  <c r="M37" i="11"/>
  <c r="O39" i="10"/>
  <c r="AE62" i="10"/>
  <c r="AE54" i="10"/>
  <c r="AF23" i="10"/>
  <c r="AG59" i="10"/>
  <c r="K100" i="10"/>
  <c r="K101" i="10" s="1"/>
  <c r="K106" i="10" s="1"/>
  <c r="AF36" i="8"/>
  <c r="K94" i="8"/>
  <c r="K95" i="8" s="1"/>
  <c r="K100" i="8" s="1"/>
  <c r="AG53" i="8"/>
  <c r="AE56" i="8"/>
  <c r="AF23" i="8"/>
  <c r="AE48" i="8"/>
  <c r="AE50" i="8" s="1"/>
  <c r="Q33" i="8"/>
  <c r="Q34" i="8" s="1"/>
  <c r="Q39" i="8" s="1"/>
  <c r="Q58" i="8" s="1"/>
  <c r="R29" i="8" s="1"/>
  <c r="R31" i="6"/>
  <c r="R54" i="6"/>
  <c r="R37" i="6"/>
  <c r="K92" i="6"/>
  <c r="K106" i="6"/>
  <c r="K108" i="6" s="1"/>
  <c r="K98" i="6"/>
  <c r="AF56" i="6"/>
  <c r="AF48" i="6"/>
  <c r="AF50" i="6" s="1"/>
  <c r="AG23" i="6"/>
  <c r="AG36" i="6"/>
  <c r="AG53" i="6"/>
  <c r="K110" i="7"/>
  <c r="L90" i="7"/>
  <c r="AG36" i="7"/>
  <c r="AE56" i="7"/>
  <c r="AF23" i="7"/>
  <c r="AH53" i="7"/>
  <c r="R31" i="7"/>
  <c r="R54" i="7"/>
  <c r="R37" i="7"/>
  <c r="K129" i="3"/>
  <c r="K135" i="3"/>
  <c r="K143" i="3"/>
  <c r="K95" i="3"/>
  <c r="L75" i="3"/>
  <c r="K28" i="3"/>
  <c r="K29" i="3" s="1"/>
  <c r="K34" i="3" s="1"/>
  <c r="K116" i="11" l="1"/>
  <c r="L96" i="11"/>
  <c r="AH59" i="11"/>
  <c r="M33" i="11"/>
  <c r="M34" i="11" s="1"/>
  <c r="M39" i="11" s="1"/>
  <c r="AF62" i="11"/>
  <c r="AG23" i="11"/>
  <c r="AF54" i="11"/>
  <c r="AH36" i="11"/>
  <c r="O56" i="10"/>
  <c r="K116" i="10"/>
  <c r="L96" i="10"/>
  <c r="AH59" i="10"/>
  <c r="AF62" i="10"/>
  <c r="AF54" i="10"/>
  <c r="AG23" i="10"/>
  <c r="K110" i="8"/>
  <c r="L90" i="8"/>
  <c r="AH53" i="8"/>
  <c r="R31" i="8"/>
  <c r="R54" i="8"/>
  <c r="R37" i="8"/>
  <c r="AF56" i="8"/>
  <c r="AF48" i="8"/>
  <c r="AF50" i="8" s="1"/>
  <c r="AG23" i="8"/>
  <c r="AG36" i="8"/>
  <c r="R33" i="6"/>
  <c r="R34" i="6" s="1"/>
  <c r="R39" i="6" s="1"/>
  <c r="R58" i="6" s="1"/>
  <c r="S29" i="6" s="1"/>
  <c r="K94" i="6"/>
  <c r="K95" i="6" s="1"/>
  <c r="K100" i="6" s="1"/>
  <c r="AH36" i="6"/>
  <c r="AH53" i="6"/>
  <c r="AG56" i="6"/>
  <c r="AG48" i="6"/>
  <c r="AG50" i="6" s="1"/>
  <c r="AH23" i="6"/>
  <c r="AH36" i="7"/>
  <c r="AI53" i="7"/>
  <c r="AF56" i="7"/>
  <c r="AG23" i="7"/>
  <c r="L92" i="7"/>
  <c r="L106" i="7"/>
  <c r="L108" i="7" s="1"/>
  <c r="L98" i="7"/>
  <c r="R33" i="7"/>
  <c r="R34" i="7" s="1"/>
  <c r="R39" i="7" s="1"/>
  <c r="R58" i="7" s="1"/>
  <c r="S29" i="7" s="1"/>
  <c r="K131" i="3"/>
  <c r="K132" i="3" s="1"/>
  <c r="K137" i="3" s="1"/>
  <c r="L77" i="3"/>
  <c r="L91" i="3"/>
  <c r="L93" i="3" s="1"/>
  <c r="L83" i="3"/>
  <c r="K44" i="3"/>
  <c r="L24" i="3"/>
  <c r="M56" i="11" l="1"/>
  <c r="N29" i="11" s="1"/>
  <c r="AG62" i="11"/>
  <c r="AG54" i="11"/>
  <c r="AH23" i="11"/>
  <c r="AI59" i="11"/>
  <c r="AI36" i="11"/>
  <c r="L98" i="11"/>
  <c r="L104" i="11"/>
  <c r="L112" i="11"/>
  <c r="L114" i="11" s="1"/>
  <c r="O64" i="10"/>
  <c r="P29" i="10"/>
  <c r="P37" i="10" s="1"/>
  <c r="AG62" i="10"/>
  <c r="AG54" i="10"/>
  <c r="AH23" i="10"/>
  <c r="AI59" i="10"/>
  <c r="L98" i="10"/>
  <c r="L112" i="10"/>
  <c r="L114" i="10" s="1"/>
  <c r="L104" i="10"/>
  <c r="AH36" i="8"/>
  <c r="AI53" i="8"/>
  <c r="AG56" i="8"/>
  <c r="AG48" i="8"/>
  <c r="AG50" i="8" s="1"/>
  <c r="AH23" i="8"/>
  <c r="L92" i="8"/>
  <c r="L98" i="8"/>
  <c r="L106" i="8"/>
  <c r="L108" i="8" s="1"/>
  <c r="R33" i="8"/>
  <c r="R34" i="8" s="1"/>
  <c r="R39" i="8" s="1"/>
  <c r="R58" i="8" s="1"/>
  <c r="S29" i="8" s="1"/>
  <c r="K110" i="6"/>
  <c r="L90" i="6"/>
  <c r="S31" i="6"/>
  <c r="S54" i="6"/>
  <c r="S37" i="6"/>
  <c r="AI53" i="6"/>
  <c r="AI36" i="6"/>
  <c r="AH56" i="6"/>
  <c r="AH48" i="6"/>
  <c r="AH50" i="6" s="1"/>
  <c r="AI23" i="6"/>
  <c r="L94" i="7"/>
  <c r="L95" i="7"/>
  <c r="L100" i="7" s="1"/>
  <c r="AG56" i="7"/>
  <c r="AH23" i="7"/>
  <c r="S31" i="7"/>
  <c r="S54" i="7"/>
  <c r="S37" i="7"/>
  <c r="AI36" i="7"/>
  <c r="K147" i="3"/>
  <c r="L127" i="3"/>
  <c r="L79" i="3"/>
  <c r="L80" i="3" s="1"/>
  <c r="L85" i="3" s="1"/>
  <c r="L26" i="3"/>
  <c r="L32" i="3"/>
  <c r="L40" i="3"/>
  <c r="AH62" i="11" l="1"/>
  <c r="AH54" i="11"/>
  <c r="AI23" i="11"/>
  <c r="L100" i="11"/>
  <c r="L101" i="11" s="1"/>
  <c r="L106" i="11" s="1"/>
  <c r="N31" i="11"/>
  <c r="N37" i="11"/>
  <c r="N60" i="11"/>
  <c r="M64" i="11"/>
  <c r="P60" i="10"/>
  <c r="P31" i="10"/>
  <c r="P33" i="10" s="1"/>
  <c r="P34" i="10" s="1"/>
  <c r="P39" i="10" s="1"/>
  <c r="P56" i="10" s="1"/>
  <c r="AH62" i="10"/>
  <c r="AH54" i="10"/>
  <c r="AI23" i="10"/>
  <c r="L100" i="10"/>
  <c r="L101" i="10" s="1"/>
  <c r="L106" i="10" s="1"/>
  <c r="S31" i="8"/>
  <c r="S54" i="8"/>
  <c r="S37" i="8"/>
  <c r="AH56" i="8"/>
  <c r="AH48" i="8"/>
  <c r="AH50" i="8" s="1"/>
  <c r="AI23" i="8"/>
  <c r="L94" i="8"/>
  <c r="L95" i="8" s="1"/>
  <c r="L100" i="8" s="1"/>
  <c r="AI36" i="8"/>
  <c r="AI48" i="6"/>
  <c r="AI50" i="6" s="1"/>
  <c r="AI56" i="6"/>
  <c r="S33" i="6"/>
  <c r="S34" i="6" s="1"/>
  <c r="S39" i="6" s="1"/>
  <c r="S58" i="6" s="1"/>
  <c r="T29" i="6" s="1"/>
  <c r="L92" i="6"/>
  <c r="L106" i="6"/>
  <c r="L108" i="6" s="1"/>
  <c r="L98" i="6"/>
  <c r="AH56" i="7"/>
  <c r="AI23" i="7"/>
  <c r="AI56" i="7" s="1"/>
  <c r="S33" i="7"/>
  <c r="S34" i="7" s="1"/>
  <c r="S39" i="7" s="1"/>
  <c r="S58" i="7" s="1"/>
  <c r="T29" i="7" s="1"/>
  <c r="L110" i="7"/>
  <c r="M90" i="7"/>
  <c r="L129" i="3"/>
  <c r="L135" i="3"/>
  <c r="L143" i="3"/>
  <c r="L95" i="3"/>
  <c r="M75" i="3"/>
  <c r="L28" i="3"/>
  <c r="L29" i="3" s="1"/>
  <c r="L34" i="3" s="1"/>
  <c r="L116" i="11" l="1"/>
  <c r="M96" i="11"/>
  <c r="AI54" i="11"/>
  <c r="AI62" i="11"/>
  <c r="N33" i="11"/>
  <c r="N34" i="11" s="1"/>
  <c r="N39" i="11" s="1"/>
  <c r="P64" i="10"/>
  <c r="Q29" i="10"/>
  <c r="Q37" i="10" s="1"/>
  <c r="L116" i="10"/>
  <c r="M96" i="10"/>
  <c r="AI54" i="10"/>
  <c r="AI62" i="10"/>
  <c r="L110" i="8"/>
  <c r="M90" i="8"/>
  <c r="AI48" i="8"/>
  <c r="AI50" i="8" s="1"/>
  <c r="AI56" i="8"/>
  <c r="S33" i="8"/>
  <c r="S34" i="8" s="1"/>
  <c r="S39" i="8" s="1"/>
  <c r="S58" i="8" s="1"/>
  <c r="T29" i="8" s="1"/>
  <c r="T31" i="6"/>
  <c r="T37" i="6"/>
  <c r="T54" i="6"/>
  <c r="L94" i="6"/>
  <c r="L95" i="6"/>
  <c r="L100" i="6" s="1"/>
  <c r="T31" i="7"/>
  <c r="T54" i="7"/>
  <c r="T37" i="7"/>
  <c r="M92" i="7"/>
  <c r="M106" i="7"/>
  <c r="M98" i="7"/>
  <c r="AI98" i="7" s="1"/>
  <c r="L131" i="3"/>
  <c r="L132" i="3" s="1"/>
  <c r="L137" i="3" s="1"/>
  <c r="M77" i="3"/>
  <c r="M91" i="3"/>
  <c r="M93" i="3" s="1"/>
  <c r="M83" i="3"/>
  <c r="V83" i="3" s="1"/>
  <c r="M24" i="3"/>
  <c r="L44" i="3"/>
  <c r="Q31" i="10" l="1"/>
  <c r="Q33" i="10" s="1"/>
  <c r="Q34" i="10" s="1"/>
  <c r="Q60" i="10"/>
  <c r="N64" i="11"/>
  <c r="N56" i="11"/>
  <c r="O29" i="11" s="1"/>
  <c r="M98" i="11"/>
  <c r="M104" i="11"/>
  <c r="AI104" i="11" s="1"/>
  <c r="M112" i="11"/>
  <c r="Q39" i="10"/>
  <c r="M98" i="10"/>
  <c r="M104" i="10"/>
  <c r="AI104" i="10" s="1"/>
  <c r="M112" i="10"/>
  <c r="T31" i="8"/>
  <c r="T54" i="8"/>
  <c r="T37" i="8"/>
  <c r="M92" i="8"/>
  <c r="M106" i="8"/>
  <c r="M98" i="8"/>
  <c r="AI98" i="8" s="1"/>
  <c r="L110" i="6"/>
  <c r="M90" i="6"/>
  <c r="T33" i="6"/>
  <c r="T34" i="6" s="1"/>
  <c r="T39" i="6" s="1"/>
  <c r="T58" i="6" s="1"/>
  <c r="U29" i="6" s="1"/>
  <c r="M94" i="7"/>
  <c r="AI94" i="7" s="1"/>
  <c r="M108" i="7"/>
  <c r="AI108" i="7" s="1"/>
  <c r="AI106" i="7"/>
  <c r="T33" i="7"/>
  <c r="T34" i="7" s="1"/>
  <c r="T39" i="7" s="1"/>
  <c r="T58" i="7" s="1"/>
  <c r="U29" i="7" s="1"/>
  <c r="L147" i="3"/>
  <c r="M127" i="3"/>
  <c r="M79" i="3"/>
  <c r="M26" i="3"/>
  <c r="M32" i="3"/>
  <c r="V32" i="3" s="1"/>
  <c r="M40" i="3"/>
  <c r="V40" i="3" s="1"/>
  <c r="W40" i="3" s="1"/>
  <c r="M114" i="11" l="1"/>
  <c r="AI114" i="11" s="1"/>
  <c r="AI112" i="11"/>
  <c r="AJ112" i="11" s="1"/>
  <c r="M100" i="11"/>
  <c r="AI100" i="11" s="1"/>
  <c r="O31" i="11"/>
  <c r="O60" i="11"/>
  <c r="O37" i="11"/>
  <c r="Q56" i="10"/>
  <c r="M114" i="10"/>
  <c r="AI114" i="10" s="1"/>
  <c r="AI112" i="10"/>
  <c r="M100" i="10"/>
  <c r="AI100" i="10" s="1"/>
  <c r="M108" i="8"/>
  <c r="AI108" i="8" s="1"/>
  <c r="AI106" i="8"/>
  <c r="AJ106" i="8" s="1"/>
  <c r="M94" i="8"/>
  <c r="AI94" i="8" s="1"/>
  <c r="T33" i="8"/>
  <c r="T34" i="8" s="1"/>
  <c r="T39" i="8" s="1"/>
  <c r="T58" i="8" s="1"/>
  <c r="U29" i="8" s="1"/>
  <c r="U31" i="6"/>
  <c r="U54" i="6"/>
  <c r="U37" i="6"/>
  <c r="M92" i="6"/>
  <c r="M106" i="6"/>
  <c r="M98" i="6"/>
  <c r="AI98" i="6" s="1"/>
  <c r="M95" i="7"/>
  <c r="AI95" i="7" s="1"/>
  <c r="U31" i="7"/>
  <c r="U54" i="7"/>
  <c r="U37" i="7"/>
  <c r="AJ106" i="7"/>
  <c r="M129" i="3"/>
  <c r="M135" i="3"/>
  <c r="V135" i="3" s="1"/>
  <c r="M143" i="3"/>
  <c r="V143" i="3" s="1"/>
  <c r="W143" i="3" s="1"/>
  <c r="M80" i="3"/>
  <c r="M28" i="3"/>
  <c r="V28" i="3" s="1"/>
  <c r="O33" i="11" l="1"/>
  <c r="O34" i="11" s="1"/>
  <c r="O39" i="11" s="1"/>
  <c r="M101" i="11"/>
  <c r="Q64" i="10"/>
  <c r="R29" i="10"/>
  <c r="R37" i="10" s="1"/>
  <c r="M101" i="10"/>
  <c r="AI101" i="10" s="1"/>
  <c r="AJ112" i="10"/>
  <c r="U31" i="8"/>
  <c r="U54" i="8"/>
  <c r="U37" i="8"/>
  <c r="M95" i="8"/>
  <c r="M94" i="6"/>
  <c r="AI94" i="6" s="1"/>
  <c r="M95" i="6"/>
  <c r="M108" i="6"/>
  <c r="AI108" i="6" s="1"/>
  <c r="AI106" i="6"/>
  <c r="AJ106" i="6" s="1"/>
  <c r="U33" i="6"/>
  <c r="U34" i="6" s="1"/>
  <c r="U39" i="6" s="1"/>
  <c r="U58" i="6" s="1"/>
  <c r="V29" i="6" s="1"/>
  <c r="M100" i="7"/>
  <c r="M110" i="7" s="1"/>
  <c r="U33" i="7"/>
  <c r="U34" i="7" s="1"/>
  <c r="U39" i="7" s="1"/>
  <c r="U58" i="7" s="1"/>
  <c r="V29" i="7" s="1"/>
  <c r="M131" i="3"/>
  <c r="V131" i="3" s="1"/>
  <c r="M85" i="3"/>
  <c r="M29" i="3"/>
  <c r="R60" i="10" l="1"/>
  <c r="R31" i="10"/>
  <c r="R33" i="10" s="1"/>
  <c r="R34" i="10" s="1"/>
  <c r="R39" i="10" s="1"/>
  <c r="R56" i="10" s="1"/>
  <c r="O56" i="11"/>
  <c r="P29" i="11" s="1"/>
  <c r="O64" i="11"/>
  <c r="AI101" i="11"/>
  <c r="M106" i="11"/>
  <c r="M116" i="11" s="1"/>
  <c r="M106" i="10"/>
  <c r="M116" i="10" s="1"/>
  <c r="AI95" i="8"/>
  <c r="M100" i="8"/>
  <c r="M110" i="8" s="1"/>
  <c r="U33" i="8"/>
  <c r="U34" i="8" s="1"/>
  <c r="U39" i="8" s="1"/>
  <c r="U58" i="8" s="1"/>
  <c r="V29" i="8" s="1"/>
  <c r="V31" i="6"/>
  <c r="V37" i="6"/>
  <c r="V54" i="6"/>
  <c r="AI95" i="6"/>
  <c r="M100" i="6"/>
  <c r="M110" i="6" s="1"/>
  <c r="V31" i="7"/>
  <c r="V54" i="7"/>
  <c r="V37" i="7"/>
  <c r="M132" i="3"/>
  <c r="V132" i="3" s="1"/>
  <c r="M95" i="3"/>
  <c r="N75" i="3"/>
  <c r="V29" i="3"/>
  <c r="M34" i="3"/>
  <c r="M44" i="3" s="1"/>
  <c r="P31" i="11" l="1"/>
  <c r="P60" i="11"/>
  <c r="P37" i="11"/>
  <c r="R64" i="10"/>
  <c r="S29" i="10"/>
  <c r="S31" i="10" s="1"/>
  <c r="S33" i="10" s="1"/>
  <c r="S34" i="10" s="1"/>
  <c r="V31" i="8"/>
  <c r="V54" i="8"/>
  <c r="V37" i="8"/>
  <c r="V33" i="6"/>
  <c r="V34" i="6"/>
  <c r="V39" i="6" s="1"/>
  <c r="V58" i="6" s="1"/>
  <c r="W29" i="6" s="1"/>
  <c r="V33" i="7"/>
  <c r="V34" i="7" s="1"/>
  <c r="V39" i="7" s="1"/>
  <c r="V58" i="7" s="1"/>
  <c r="W29" i="7" s="1"/>
  <c r="M137" i="3"/>
  <c r="M147" i="3" s="1"/>
  <c r="N91" i="3"/>
  <c r="N83" i="3"/>
  <c r="N77" i="3"/>
  <c r="N79" i="3" s="1"/>
  <c r="P33" i="11" l="1"/>
  <c r="P34" i="11" s="1"/>
  <c r="P39" i="11" s="1"/>
  <c r="S37" i="10"/>
  <c r="S39" i="10" s="1"/>
  <c r="S60" i="10"/>
  <c r="V33" i="8"/>
  <c r="V34" i="8" s="1"/>
  <c r="V39" i="8" s="1"/>
  <c r="V58" i="8" s="1"/>
  <c r="W29" i="8" s="1"/>
  <c r="W31" i="6"/>
  <c r="W54" i="6"/>
  <c r="W37" i="6"/>
  <c r="W31" i="7"/>
  <c r="W54" i="7"/>
  <c r="W37" i="7"/>
  <c r="V91" i="3"/>
  <c r="N93" i="3"/>
  <c r="V93" i="3" s="1"/>
  <c r="N80" i="3"/>
  <c r="V79" i="3"/>
  <c r="P56" i="11" l="1"/>
  <c r="Q29" i="11" s="1"/>
  <c r="S56" i="10"/>
  <c r="W31" i="8"/>
  <c r="W54" i="8"/>
  <c r="W37" i="8"/>
  <c r="W33" i="6"/>
  <c r="W34" i="6" s="1"/>
  <c r="W39" i="6" s="1"/>
  <c r="W58" i="6" s="1"/>
  <c r="X29" i="6" s="1"/>
  <c r="W33" i="7"/>
  <c r="W34" i="7" s="1"/>
  <c r="W39" i="7" s="1"/>
  <c r="W58" i="7" s="1"/>
  <c r="X29" i="7" s="1"/>
  <c r="W91" i="3"/>
  <c r="N85" i="3"/>
  <c r="V80" i="3"/>
  <c r="Q31" i="11" l="1"/>
  <c r="Q37" i="11"/>
  <c r="Q60" i="11"/>
  <c r="P64" i="11"/>
  <c r="S64" i="10"/>
  <c r="T29" i="10"/>
  <c r="T31" i="10" s="1"/>
  <c r="T33" i="10" s="1"/>
  <c r="T34" i="10" s="1"/>
  <c r="W33" i="8"/>
  <c r="W34" i="8" s="1"/>
  <c r="W39" i="8" s="1"/>
  <c r="W58" i="8" s="1"/>
  <c r="X29" i="8" s="1"/>
  <c r="X31" i="6"/>
  <c r="X54" i="6"/>
  <c r="X37" i="6"/>
  <c r="X31" i="7"/>
  <c r="X54" i="7"/>
  <c r="X37" i="7"/>
  <c r="O75" i="3"/>
  <c r="N95" i="3"/>
  <c r="T60" i="10" l="1"/>
  <c r="Q33" i="11"/>
  <c r="Q34" i="11" s="1"/>
  <c r="Q39" i="11" s="1"/>
  <c r="T37" i="10"/>
  <c r="T39" i="10" s="1"/>
  <c r="T56" i="10" s="1"/>
  <c r="X31" i="8"/>
  <c r="X54" i="8"/>
  <c r="X37" i="8"/>
  <c r="X33" i="6"/>
  <c r="X34" i="6"/>
  <c r="X39" i="6" s="1"/>
  <c r="X58" i="6" s="1"/>
  <c r="Y29" i="6" s="1"/>
  <c r="X33" i="7"/>
  <c r="X34" i="7" s="1"/>
  <c r="X39" i="7" s="1"/>
  <c r="X58" i="7" s="1"/>
  <c r="Y29" i="7" s="1"/>
  <c r="O83" i="3"/>
  <c r="O91" i="3"/>
  <c r="O77" i="3"/>
  <c r="O79" i="3" s="1"/>
  <c r="O80" i="3" s="1"/>
  <c r="Q56" i="11" l="1"/>
  <c r="R29" i="11" s="1"/>
  <c r="T64" i="10"/>
  <c r="U29" i="10"/>
  <c r="U31" i="10" s="1"/>
  <c r="U33" i="10" s="1"/>
  <c r="U34" i="10" s="1"/>
  <c r="X33" i="8"/>
  <c r="X34" i="8" s="1"/>
  <c r="X39" i="8" s="1"/>
  <c r="X58" i="8" s="1"/>
  <c r="Y29" i="8" s="1"/>
  <c r="Y31" i="6"/>
  <c r="Y54" i="6"/>
  <c r="Y37" i="6"/>
  <c r="Y31" i="7"/>
  <c r="Y54" i="7"/>
  <c r="Y37" i="7"/>
  <c r="O85" i="3"/>
  <c r="O95" i="3" s="1"/>
  <c r="R31" i="11" l="1"/>
  <c r="R37" i="11"/>
  <c r="R60" i="11"/>
  <c r="Q64" i="11"/>
  <c r="U60" i="10"/>
  <c r="U37" i="10"/>
  <c r="U39" i="10" s="1"/>
  <c r="U56" i="10" s="1"/>
  <c r="Y31" i="8"/>
  <c r="Y54" i="8"/>
  <c r="Y37" i="8"/>
  <c r="Y33" i="6"/>
  <c r="Y34" i="6" s="1"/>
  <c r="Y39" i="6" s="1"/>
  <c r="Y58" i="6" s="1"/>
  <c r="Z29" i="6" s="1"/>
  <c r="Y33" i="7"/>
  <c r="Y34" i="7" s="1"/>
  <c r="Y39" i="7" s="1"/>
  <c r="Y58" i="7" s="1"/>
  <c r="Z29" i="7" s="1"/>
  <c r="P75" i="3"/>
  <c r="P77" i="3" s="1"/>
  <c r="P79" i="3" s="1"/>
  <c r="P80" i="3" s="1"/>
  <c r="R33" i="11" l="1"/>
  <c r="R34" i="11" s="1"/>
  <c r="R39" i="11" s="1"/>
  <c r="U64" i="10"/>
  <c r="V29" i="10"/>
  <c r="V31" i="10" s="1"/>
  <c r="V33" i="10" s="1"/>
  <c r="V34" i="10" s="1"/>
  <c r="V60" i="10"/>
  <c r="Y33" i="8"/>
  <c r="Y34" i="8" s="1"/>
  <c r="Y39" i="8" s="1"/>
  <c r="Y58" i="8" s="1"/>
  <c r="Z29" i="8" s="1"/>
  <c r="Z31" i="6"/>
  <c r="Z54" i="6"/>
  <c r="Z37" i="6"/>
  <c r="Z31" i="7"/>
  <c r="Z54" i="7"/>
  <c r="Z37" i="7"/>
  <c r="P91" i="3"/>
  <c r="P83" i="3"/>
  <c r="P85" i="3" s="1"/>
  <c r="R56" i="11" l="1"/>
  <c r="S29" i="11" s="1"/>
  <c r="V37" i="10"/>
  <c r="V39" i="10" s="1"/>
  <c r="Z31" i="8"/>
  <c r="Z54" i="8"/>
  <c r="Z37" i="8"/>
  <c r="Z33" i="6"/>
  <c r="Z34" i="6" s="1"/>
  <c r="Z39" i="6" s="1"/>
  <c r="Z58" i="6" s="1"/>
  <c r="AA29" i="6" s="1"/>
  <c r="Z33" i="7"/>
  <c r="Z34" i="7" s="1"/>
  <c r="Z39" i="7" s="1"/>
  <c r="Z58" i="7" s="1"/>
  <c r="AA29" i="7" s="1"/>
  <c r="P95" i="3"/>
  <c r="Q75" i="3"/>
  <c r="S31" i="11" l="1"/>
  <c r="S60" i="11"/>
  <c r="S37" i="11"/>
  <c r="R64" i="11"/>
  <c r="V56" i="10"/>
  <c r="Z33" i="8"/>
  <c r="Z34" i="8" s="1"/>
  <c r="Z39" i="8" s="1"/>
  <c r="Z58" i="8" s="1"/>
  <c r="AA29" i="8" s="1"/>
  <c r="AA31" i="6"/>
  <c r="AA54" i="6"/>
  <c r="AA37" i="6"/>
  <c r="AA31" i="7"/>
  <c r="AA54" i="7"/>
  <c r="AA37" i="7"/>
  <c r="Q83" i="3"/>
  <c r="Q77" i="3"/>
  <c r="Q79" i="3" s="1"/>
  <c r="Q80" i="3" s="1"/>
  <c r="Q91" i="3"/>
  <c r="S33" i="11" l="1"/>
  <c r="S34" i="11"/>
  <c r="S39" i="11" s="1"/>
  <c r="V64" i="10"/>
  <c r="W29" i="10"/>
  <c r="W31" i="10" s="1"/>
  <c r="W33" i="10" s="1"/>
  <c r="W34" i="10" s="1"/>
  <c r="AA31" i="8"/>
  <c r="AA54" i="8"/>
  <c r="AA37" i="8"/>
  <c r="AA33" i="6"/>
  <c r="AA34" i="6" s="1"/>
  <c r="AA39" i="6" s="1"/>
  <c r="AA58" i="6" s="1"/>
  <c r="AB29" i="6" s="1"/>
  <c r="AA33" i="7"/>
  <c r="AA34" i="7" s="1"/>
  <c r="AA39" i="7" s="1"/>
  <c r="AA58" i="7" s="1"/>
  <c r="AB29" i="7" s="1"/>
  <c r="Q85" i="3"/>
  <c r="R75" i="3" s="1"/>
  <c r="Q95" i="3"/>
  <c r="S56" i="11" l="1"/>
  <c r="T29" i="11" s="1"/>
  <c r="S64" i="11"/>
  <c r="W60" i="10"/>
  <c r="W37" i="10"/>
  <c r="W39" i="10" s="1"/>
  <c r="AA33" i="8"/>
  <c r="AA34" i="8" s="1"/>
  <c r="AA39" i="8" s="1"/>
  <c r="AA58" i="8" s="1"/>
  <c r="AB29" i="8" s="1"/>
  <c r="AB31" i="6"/>
  <c r="AB37" i="6"/>
  <c r="AB54" i="6"/>
  <c r="AB31" i="7"/>
  <c r="AB54" i="7"/>
  <c r="AB37" i="7"/>
  <c r="R77" i="3"/>
  <c r="R91" i="3"/>
  <c r="R83" i="3"/>
  <c r="T31" i="11" l="1"/>
  <c r="T37" i="11"/>
  <c r="T60" i="11"/>
  <c r="W56" i="10"/>
  <c r="AB31" i="8"/>
  <c r="AB54" i="8"/>
  <c r="AB37" i="8"/>
  <c r="AB33" i="6"/>
  <c r="AB34" i="6" s="1"/>
  <c r="AB39" i="6" s="1"/>
  <c r="AB58" i="6" s="1"/>
  <c r="AC29" i="6" s="1"/>
  <c r="AB33" i="7"/>
  <c r="AB34" i="7" s="1"/>
  <c r="AB39" i="7" s="1"/>
  <c r="AB58" i="7" s="1"/>
  <c r="AC29" i="7" s="1"/>
  <c r="R79" i="3"/>
  <c r="R80" i="3" s="1"/>
  <c r="R85" i="3" s="1"/>
  <c r="T33" i="11" l="1"/>
  <c r="T34" i="11" s="1"/>
  <c r="T39" i="11" s="1"/>
  <c r="W64" i="10"/>
  <c r="X29" i="10"/>
  <c r="X60" i="10" s="1"/>
  <c r="AB33" i="8"/>
  <c r="AB34" i="8" s="1"/>
  <c r="AB39" i="8" s="1"/>
  <c r="AB58" i="8" s="1"/>
  <c r="AC29" i="8" s="1"/>
  <c r="AC31" i="6"/>
  <c r="AC54" i="6"/>
  <c r="AC37" i="6"/>
  <c r="AC31" i="7"/>
  <c r="AC54" i="7"/>
  <c r="AC37" i="7"/>
  <c r="S75" i="3"/>
  <c r="R95" i="3"/>
  <c r="T56" i="11" l="1"/>
  <c r="U29" i="11" s="1"/>
  <c r="X31" i="10"/>
  <c r="X33" i="10" s="1"/>
  <c r="X34" i="10" s="1"/>
  <c r="X37" i="10"/>
  <c r="AC31" i="8"/>
  <c r="AC54" i="8"/>
  <c r="AC37" i="8"/>
  <c r="AC33" i="6"/>
  <c r="AC34" i="6" s="1"/>
  <c r="AC39" i="6" s="1"/>
  <c r="AC58" i="6" s="1"/>
  <c r="AD29" i="6" s="1"/>
  <c r="AC33" i="7"/>
  <c r="AC34" i="7" s="1"/>
  <c r="AC39" i="7" s="1"/>
  <c r="AC58" i="7" s="1"/>
  <c r="AD29" i="7" s="1"/>
  <c r="S77" i="3"/>
  <c r="S79" i="3" s="1"/>
  <c r="S80" i="3" s="1"/>
  <c r="S91" i="3"/>
  <c r="S83" i="3"/>
  <c r="U31" i="11" l="1"/>
  <c r="U37" i="11"/>
  <c r="U60" i="11"/>
  <c r="T64" i="11"/>
  <c r="X39" i="10"/>
  <c r="X56" i="10" s="1"/>
  <c r="Y29" i="10" s="1"/>
  <c r="AC33" i="8"/>
  <c r="AC34" i="8" s="1"/>
  <c r="AC39" i="8" s="1"/>
  <c r="AC58" i="8" s="1"/>
  <c r="AD29" i="8" s="1"/>
  <c r="AD31" i="6"/>
  <c r="AD54" i="6"/>
  <c r="AD37" i="6"/>
  <c r="AD31" i="7"/>
  <c r="AD54" i="7"/>
  <c r="AD37" i="7"/>
  <c r="S85" i="3"/>
  <c r="T75" i="3" s="1"/>
  <c r="U33" i="11" l="1"/>
  <c r="U34" i="11" s="1"/>
  <c r="U39" i="11" s="1"/>
  <c r="Y60" i="10"/>
  <c r="Y31" i="10"/>
  <c r="Y33" i="10" s="1"/>
  <c r="Y34" i="10" s="1"/>
  <c r="Y37" i="10"/>
  <c r="X64" i="10"/>
  <c r="AD31" i="8"/>
  <c r="AD54" i="8"/>
  <c r="AD37" i="8"/>
  <c r="AD33" i="6"/>
  <c r="AD34" i="6" s="1"/>
  <c r="AD39" i="6" s="1"/>
  <c r="AD58" i="6" s="1"/>
  <c r="AE29" i="6" s="1"/>
  <c r="AD33" i="7"/>
  <c r="AD34" i="7" s="1"/>
  <c r="AD39" i="7" s="1"/>
  <c r="AD58" i="7" s="1"/>
  <c r="AE29" i="7" s="1"/>
  <c r="S95" i="3"/>
  <c r="T77" i="3"/>
  <c r="T79" i="3" s="1"/>
  <c r="T80" i="3" s="1"/>
  <c r="T83" i="3"/>
  <c r="T91" i="3"/>
  <c r="Y39" i="10" l="1"/>
  <c r="Y56" i="10" s="1"/>
  <c r="U56" i="11"/>
  <c r="V29" i="11" s="1"/>
  <c r="AD33" i="8"/>
  <c r="AD34" i="8" s="1"/>
  <c r="AD39" i="8" s="1"/>
  <c r="AD58" i="8" s="1"/>
  <c r="AE29" i="8" s="1"/>
  <c r="AE31" i="6"/>
  <c r="AE54" i="6"/>
  <c r="AE37" i="6"/>
  <c r="AE31" i="7"/>
  <c r="AE54" i="7"/>
  <c r="AE37" i="7"/>
  <c r="T85" i="3"/>
  <c r="T95" i="3" s="1"/>
  <c r="V31" i="11" l="1"/>
  <c r="V37" i="11"/>
  <c r="V60" i="11"/>
  <c r="U64" i="11"/>
  <c r="Y64" i="10"/>
  <c r="Z29" i="10"/>
  <c r="Z31" i="10" s="1"/>
  <c r="Z33" i="10" s="1"/>
  <c r="Z34" i="10" s="1"/>
  <c r="AE31" i="8"/>
  <c r="AE54" i="8"/>
  <c r="AE37" i="8"/>
  <c r="AE33" i="6"/>
  <c r="AE34" i="6" s="1"/>
  <c r="AE39" i="6" s="1"/>
  <c r="AE58" i="6" s="1"/>
  <c r="AF29" i="6" s="1"/>
  <c r="AE33" i="7"/>
  <c r="AE34" i="7" s="1"/>
  <c r="AE39" i="7" s="1"/>
  <c r="AE58" i="7" s="1"/>
  <c r="AF29" i="7" s="1"/>
  <c r="V33" i="11" l="1"/>
  <c r="V34" i="11" s="1"/>
  <c r="V39" i="11" s="1"/>
  <c r="Z37" i="10"/>
  <c r="Z39" i="10" s="1"/>
  <c r="Z60" i="10"/>
  <c r="AE33" i="8"/>
  <c r="AE34" i="8" s="1"/>
  <c r="AE39" i="8" s="1"/>
  <c r="AE58" i="8" s="1"/>
  <c r="AF29" i="8" s="1"/>
  <c r="AF31" i="6"/>
  <c r="AF37" i="6"/>
  <c r="AF54" i="6"/>
  <c r="AF31" i="7"/>
  <c r="AF54" i="7"/>
  <c r="AF37" i="7"/>
  <c r="V56" i="11" l="1"/>
  <c r="W29" i="11" s="1"/>
  <c r="Z56" i="10"/>
  <c r="AF31" i="8"/>
  <c r="AF54" i="8"/>
  <c r="AF37" i="8"/>
  <c r="AF33" i="6"/>
  <c r="AF34" i="6" s="1"/>
  <c r="AF39" i="6" s="1"/>
  <c r="AF58" i="6" s="1"/>
  <c r="AG29" i="6" s="1"/>
  <c r="AF33" i="7"/>
  <c r="AF34" i="7" s="1"/>
  <c r="AF39" i="7" s="1"/>
  <c r="AF58" i="7" s="1"/>
  <c r="AG29" i="7" s="1"/>
  <c r="W31" i="11" l="1"/>
  <c r="W60" i="11"/>
  <c r="W37" i="11"/>
  <c r="V64" i="11"/>
  <c r="Z64" i="10"/>
  <c r="AA29" i="10"/>
  <c r="AA31" i="10" s="1"/>
  <c r="AA33" i="10" s="1"/>
  <c r="AA34" i="10" s="1"/>
  <c r="AF33" i="8"/>
  <c r="AF34" i="8" s="1"/>
  <c r="AF39" i="8" s="1"/>
  <c r="AF58" i="8" s="1"/>
  <c r="AG29" i="8" s="1"/>
  <c r="AG31" i="6"/>
  <c r="AG54" i="6"/>
  <c r="AG37" i="6"/>
  <c r="AG31" i="7"/>
  <c r="AG54" i="7"/>
  <c r="AG37" i="7"/>
  <c r="W33" i="11" l="1"/>
  <c r="W34" i="11" s="1"/>
  <c r="W39" i="11" s="1"/>
  <c r="AA60" i="10"/>
  <c r="AA37" i="10"/>
  <c r="AA39" i="10" s="1"/>
  <c r="AG31" i="8"/>
  <c r="AG54" i="8"/>
  <c r="AG37" i="8"/>
  <c r="AG33" i="6"/>
  <c r="AG34" i="6" s="1"/>
  <c r="AG39" i="6" s="1"/>
  <c r="AG58" i="6" s="1"/>
  <c r="AH29" i="6" s="1"/>
  <c r="AG33" i="7"/>
  <c r="AG34" i="7" s="1"/>
  <c r="AG39" i="7" s="1"/>
  <c r="AG58" i="7" s="1"/>
  <c r="AH29" i="7" s="1"/>
  <c r="W56" i="11" l="1"/>
  <c r="X29" i="11" s="1"/>
  <c r="W64" i="11"/>
  <c r="AA56" i="10"/>
  <c r="AG33" i="8"/>
  <c r="AG34" i="8" s="1"/>
  <c r="AG39" i="8" s="1"/>
  <c r="AG58" i="8" s="1"/>
  <c r="AH29" i="8" s="1"/>
  <c r="AH31" i="6"/>
  <c r="AH37" i="6"/>
  <c r="AH54" i="6"/>
  <c r="AH31" i="7"/>
  <c r="AH54" i="7"/>
  <c r="AH37" i="7"/>
  <c r="X31" i="11" l="1"/>
  <c r="X60" i="11"/>
  <c r="X37" i="11"/>
  <c r="AA64" i="10"/>
  <c r="AB29" i="10"/>
  <c r="AB31" i="10" s="1"/>
  <c r="AB33" i="10" s="1"/>
  <c r="AB34" i="10" s="1"/>
  <c r="AB37" i="10"/>
  <c r="AB60" i="10"/>
  <c r="AH31" i="8"/>
  <c r="AH54" i="8"/>
  <c r="AH37" i="8"/>
  <c r="AH33" i="6"/>
  <c r="AH34" i="6" s="1"/>
  <c r="AH39" i="6" s="1"/>
  <c r="AH58" i="6" s="1"/>
  <c r="AI29" i="6" s="1"/>
  <c r="AH33" i="7"/>
  <c r="AH34" i="7" s="1"/>
  <c r="AH39" i="7" s="1"/>
  <c r="AH58" i="7" s="1"/>
  <c r="AI29" i="7" s="1"/>
  <c r="X33" i="11" l="1"/>
  <c r="X34" i="11" s="1"/>
  <c r="X39" i="11" s="1"/>
  <c r="AB39" i="10"/>
  <c r="AH33" i="8"/>
  <c r="AH34" i="8" s="1"/>
  <c r="AH39" i="8" s="1"/>
  <c r="AH58" i="8" s="1"/>
  <c r="AI29" i="8" s="1"/>
  <c r="AI31" i="6"/>
  <c r="AI54" i="6"/>
  <c r="AJ54" i="6" s="1"/>
  <c r="AI37" i="6"/>
  <c r="AI31" i="7"/>
  <c r="AI54" i="7"/>
  <c r="AJ54" i="7" s="1"/>
  <c r="AI37" i="7"/>
  <c r="X56" i="11" l="1"/>
  <c r="Y29" i="11" s="1"/>
  <c r="AB56" i="10"/>
  <c r="AI31" i="8"/>
  <c r="AI54" i="8"/>
  <c r="AJ54" i="8" s="1"/>
  <c r="AI37" i="8"/>
  <c r="AI33" i="6"/>
  <c r="AI34" i="6" s="1"/>
  <c r="AI39" i="6" s="1"/>
  <c r="AI58" i="6" s="1"/>
  <c r="AI33" i="7"/>
  <c r="AI34" i="7" s="1"/>
  <c r="AI39" i="7" s="1"/>
  <c r="AI58" i="7" s="1"/>
  <c r="Y31" i="11" l="1"/>
  <c r="Y37" i="11"/>
  <c r="Y60" i="11"/>
  <c r="X64" i="11"/>
  <c r="AB64" i="10"/>
  <c r="AC29" i="10"/>
  <c r="AC60" i="10" s="1"/>
  <c r="AI33" i="8"/>
  <c r="AI34" i="8" s="1"/>
  <c r="AI39" i="8" s="1"/>
  <c r="AI58" i="8" s="1"/>
  <c r="AC31" i="10" l="1"/>
  <c r="AC33" i="10" s="1"/>
  <c r="AC34" i="10" s="1"/>
  <c r="AC37" i="10"/>
  <c r="Y33" i="11"/>
  <c r="Y34" i="11" s="1"/>
  <c r="Y39" i="11" s="1"/>
  <c r="AC39" i="10" l="1"/>
  <c r="AC56" i="10" s="1"/>
  <c r="AD29" i="10" s="1"/>
  <c r="AD31" i="10" s="1"/>
  <c r="AD33" i="10" s="1"/>
  <c r="AD34" i="10" s="1"/>
  <c r="Y56" i="11"/>
  <c r="Z29" i="11" s="1"/>
  <c r="AD37" i="10" l="1"/>
  <c r="AC64" i="10"/>
  <c r="Z31" i="11"/>
  <c r="Z60" i="11"/>
  <c r="Z37" i="11"/>
  <c r="Y64" i="11"/>
  <c r="AD60" i="10"/>
  <c r="AD39" i="10"/>
  <c r="Z33" i="11" l="1"/>
  <c r="Z34" i="11" s="1"/>
  <c r="Z39" i="11" s="1"/>
  <c r="AD56" i="10"/>
  <c r="Z56" i="11" l="1"/>
  <c r="AA29" i="11" s="1"/>
  <c r="AD64" i="10"/>
  <c r="AE29" i="10"/>
  <c r="AE37" i="10" s="1"/>
  <c r="AA31" i="11" l="1"/>
  <c r="AA60" i="11"/>
  <c r="AA37" i="11"/>
  <c r="Z64" i="11"/>
  <c r="AE31" i="10"/>
  <c r="AE33" i="10" s="1"/>
  <c r="AE34" i="10" s="1"/>
  <c r="AE39" i="10" s="1"/>
  <c r="AE56" i="10" s="1"/>
  <c r="AE60" i="10"/>
  <c r="AA33" i="11" l="1"/>
  <c r="AA34" i="11" s="1"/>
  <c r="AA39" i="11" s="1"/>
  <c r="AE64" i="10"/>
  <c r="AF29" i="10"/>
  <c r="AF37" i="10" s="1"/>
  <c r="AF31" i="10"/>
  <c r="AF33" i="10" s="1"/>
  <c r="AF34" i="10" s="1"/>
  <c r="AA56" i="11" l="1"/>
  <c r="AB29" i="11" s="1"/>
  <c r="AA64" i="11"/>
  <c r="AF60" i="10"/>
  <c r="AF39" i="10"/>
  <c r="AB31" i="11" l="1"/>
  <c r="AB60" i="11"/>
  <c r="AB37" i="11"/>
  <c r="AF56" i="10"/>
  <c r="AB33" i="11" l="1"/>
  <c r="AB34" i="11" s="1"/>
  <c r="AB39" i="11" s="1"/>
  <c r="AF64" i="10"/>
  <c r="AG29" i="10"/>
  <c r="AG37" i="10" s="1"/>
  <c r="AB56" i="11" l="1"/>
  <c r="AC29" i="11" s="1"/>
  <c r="AB64" i="11"/>
  <c r="AG60" i="10"/>
  <c r="AG31" i="10"/>
  <c r="AG33" i="10" s="1"/>
  <c r="AG34" i="10" s="1"/>
  <c r="AG39" i="10" s="1"/>
  <c r="AG56" i="10" s="1"/>
  <c r="AC31" i="11" l="1"/>
  <c r="AC37" i="11"/>
  <c r="AC60" i="11"/>
  <c r="AG64" i="10"/>
  <c r="AH29" i="10"/>
  <c r="AH31" i="10" s="1"/>
  <c r="AH33" i="10" s="1"/>
  <c r="AH34" i="10" s="1"/>
  <c r="AH60" i="10"/>
  <c r="AH37" i="10" l="1"/>
  <c r="AH39" i="10" s="1"/>
  <c r="AC34" i="11"/>
  <c r="AC39" i="11" s="1"/>
  <c r="AC33" i="11"/>
  <c r="AC56" i="11" l="1"/>
  <c r="AD29" i="11" s="1"/>
  <c r="AH56" i="10"/>
  <c r="AD31" i="11" l="1"/>
  <c r="AD60" i="11"/>
  <c r="AD37" i="11"/>
  <c r="AC64" i="11"/>
  <c r="AH64" i="10"/>
  <c r="AI29" i="10"/>
  <c r="AI37" i="10" s="1"/>
  <c r="AI31" i="10" l="1"/>
  <c r="AI33" i="10" s="1"/>
  <c r="AI34" i="10" s="1"/>
  <c r="AI60" i="10"/>
  <c r="AJ60" i="10" s="1"/>
  <c r="AD33" i="11"/>
  <c r="AD34" i="11" s="1"/>
  <c r="AD39" i="11" s="1"/>
  <c r="AI39" i="10"/>
  <c r="AD56" i="11" l="1"/>
  <c r="AE29" i="11" s="1"/>
  <c r="AI56" i="10"/>
  <c r="AI64" i="10" s="1"/>
  <c r="AE31" i="11" l="1"/>
  <c r="AE60" i="11"/>
  <c r="AE37" i="11"/>
  <c r="AD64" i="11"/>
  <c r="AE33" i="11" l="1"/>
  <c r="AE34" i="11" s="1"/>
  <c r="AE39" i="11" s="1"/>
  <c r="AE56" i="11" l="1"/>
  <c r="AF29" i="11" s="1"/>
  <c r="AE64" i="11" l="1"/>
  <c r="AF31" i="11"/>
  <c r="AF37" i="11"/>
  <c r="AF60" i="11"/>
  <c r="AF33" i="11" l="1"/>
  <c r="AF34" i="11" s="1"/>
  <c r="AF39" i="11" s="1"/>
  <c r="AF56" i="11" l="1"/>
  <c r="AG29" i="11" s="1"/>
  <c r="AG31" i="11" l="1"/>
  <c r="AG37" i="11"/>
  <c r="AG60" i="11"/>
  <c r="AF64" i="11"/>
  <c r="AG33" i="11" l="1"/>
  <c r="AG34" i="11" s="1"/>
  <c r="AG39" i="11" s="1"/>
  <c r="AG56" i="11" l="1"/>
  <c r="AH29" i="11" s="1"/>
  <c r="AH31" i="11" l="1"/>
  <c r="AH37" i="11"/>
  <c r="AH60" i="11"/>
  <c r="AG64" i="11"/>
  <c r="AH33" i="11" l="1"/>
  <c r="AH34" i="11" s="1"/>
  <c r="AH39" i="11" s="1"/>
  <c r="AH56" i="11" l="1"/>
  <c r="AI29" i="11" s="1"/>
  <c r="AI31" i="11" l="1"/>
  <c r="AI60" i="11"/>
  <c r="AJ60" i="11" s="1"/>
  <c r="AI37" i="11"/>
  <c r="AH64" i="11"/>
  <c r="AI33" i="11" l="1"/>
  <c r="AI34" i="11" s="1"/>
  <c r="AI39" i="11" s="1"/>
  <c r="AI56" i="11" l="1"/>
  <c r="AI64" i="11"/>
</calcChain>
</file>

<file path=xl/sharedStrings.xml><?xml version="1.0" encoding="utf-8"?>
<sst xmlns="http://schemas.openxmlformats.org/spreadsheetml/2006/main" count="583" uniqueCount="71">
  <si>
    <t>open balance</t>
  </si>
  <si>
    <t>income return ($)</t>
  </si>
  <si>
    <t>income return (%)</t>
  </si>
  <si>
    <t>Year</t>
  </si>
  <si>
    <t>Tax Rate (%)</t>
  </si>
  <si>
    <t>Tax Rate ($)</t>
  </si>
  <si>
    <t>Income after tax</t>
  </si>
  <si>
    <t>Growth (%)</t>
  </si>
  <si>
    <t>Growth ($)</t>
  </si>
  <si>
    <t>Closing Balance</t>
  </si>
  <si>
    <t>Finial Closing balance</t>
  </si>
  <si>
    <t>Inflation assumed</t>
  </si>
  <si>
    <t>Start year</t>
  </si>
  <si>
    <t>Finish Year</t>
  </si>
  <si>
    <t>Fees (%)</t>
  </si>
  <si>
    <t>Fees ($)</t>
  </si>
  <si>
    <t>income needed ex fees</t>
  </si>
  <si>
    <t>income needed inclusive of fees</t>
  </si>
  <si>
    <t>Fees %</t>
  </si>
  <si>
    <t>Partner 1 age</t>
  </si>
  <si>
    <t>Partner 2 age</t>
  </si>
  <si>
    <t>Inflation</t>
  </si>
  <si>
    <t>Stage 1</t>
  </si>
  <si>
    <t>Portfolio</t>
  </si>
  <si>
    <t>Conservative</t>
  </si>
  <si>
    <t>Portfolio Attributes</t>
  </si>
  <si>
    <t>Stage 2</t>
  </si>
  <si>
    <t>Stage length</t>
  </si>
  <si>
    <t>Calander Year</t>
  </si>
  <si>
    <t>Partner 1 age at start of Stage</t>
  </si>
  <si>
    <t>Partner 2 age at stage of stage</t>
  </si>
  <si>
    <r>
      <t xml:space="preserve">Partner 1 age at </t>
    </r>
    <r>
      <rPr>
        <b/>
        <sz val="11"/>
        <color theme="1"/>
        <rFont val="Aptos Narrow"/>
        <family val="2"/>
        <scheme val="minor"/>
      </rPr>
      <t xml:space="preserve">END </t>
    </r>
    <r>
      <rPr>
        <sz val="11"/>
        <color theme="1"/>
        <rFont val="Aptos Narrow"/>
        <family val="2"/>
        <scheme val="minor"/>
      </rPr>
      <t>of Stage</t>
    </r>
  </si>
  <si>
    <r>
      <t xml:space="preserve">Partner 2 age at </t>
    </r>
    <r>
      <rPr>
        <b/>
        <sz val="11"/>
        <color theme="1"/>
        <rFont val="Aptos Narrow"/>
        <family val="2"/>
        <scheme val="minor"/>
      </rPr>
      <t xml:space="preserve">END </t>
    </r>
    <r>
      <rPr>
        <sz val="11"/>
        <color theme="1"/>
        <rFont val="Aptos Narrow"/>
        <family val="2"/>
        <scheme val="minor"/>
      </rPr>
      <t>of Stage</t>
    </r>
  </si>
  <si>
    <t>Balanced</t>
  </si>
  <si>
    <t>"- this is a pull down menue that automatically fills in the Income % and Growth %"</t>
  </si>
  <si>
    <t xml:space="preserve">Calander Year at Stage </t>
  </si>
  <si>
    <t xml:space="preserve">The year that needs to be iqual to $0 is </t>
  </si>
  <si>
    <t>if by</t>
  </si>
  <si>
    <t xml:space="preserve">I need </t>
  </si>
  <si>
    <t>in capital</t>
  </si>
  <si>
    <t xml:space="preserve">Assuming </t>
  </si>
  <si>
    <t>Stage 2 Funding at beging of Stage 1</t>
  </si>
  <si>
    <t>Capital Needed - Purchase Price</t>
  </si>
  <si>
    <t>Trade in Value</t>
  </si>
  <si>
    <t>Holding Cost</t>
  </si>
  <si>
    <t xml:space="preserve">  Rego</t>
  </si>
  <si>
    <t xml:space="preserve">  Insurance</t>
  </si>
  <si>
    <t xml:space="preserve">  Maintenance</t>
  </si>
  <si>
    <t xml:space="preserve">  Services</t>
  </si>
  <si>
    <t>Hollding Costs - Total</t>
  </si>
  <si>
    <t>Car for Partner 1</t>
  </si>
  <si>
    <t>Car for Partner 2</t>
  </si>
  <si>
    <t>Caravan</t>
  </si>
  <si>
    <t>car</t>
  </si>
  <si>
    <t>cp2</t>
  </si>
  <si>
    <t>cp1</t>
  </si>
  <si>
    <t>st 3</t>
  </si>
  <si>
    <t>st 2</t>
  </si>
  <si>
    <t>st 1</t>
  </si>
  <si>
    <t>aust</t>
  </si>
  <si>
    <t>int</t>
  </si>
  <si>
    <t>holiday costs</t>
  </si>
  <si>
    <t xml:space="preserve">  Weeks per year</t>
  </si>
  <si>
    <t xml:space="preserve">  Accomodation cost per night</t>
  </si>
  <si>
    <t xml:space="preserve">  Food cost per day</t>
  </si>
  <si>
    <t xml:space="preserve">  Transport cost per day</t>
  </si>
  <si>
    <t xml:space="preserve">  Days away</t>
  </si>
  <si>
    <t xml:space="preserve">  Fun cost per day</t>
  </si>
  <si>
    <t xml:space="preserve">  No of Airfairs</t>
  </si>
  <si>
    <t xml:space="preserve">  Tickets per person</t>
  </si>
  <si>
    <t>Frequence of years between 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</si>
</sst>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70" formatCode="#,##0_ ;[Red]\-#,##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2" applyNumberFormat="1" applyFont="1"/>
    <xf numFmtId="10" fontId="0" fillId="2" borderId="0" xfId="0" applyNumberFormat="1" applyFill="1"/>
    <xf numFmtId="165" fontId="0" fillId="2" borderId="0" xfId="1" applyNumberFormat="1" applyFont="1" applyFill="1"/>
    <xf numFmtId="0" fontId="0" fillId="2" borderId="0" xfId="0" applyFill="1"/>
    <xf numFmtId="170" fontId="0" fillId="0" borderId="0" xfId="0" applyNumberFormat="1"/>
    <xf numFmtId="10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165" fontId="0" fillId="0" borderId="0" xfId="1" applyNumberFormat="1" applyFont="1" applyFill="1"/>
    <xf numFmtId="170" fontId="0" fillId="2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F9BA-FF56-4A67-A520-1C45FD5191EF}">
  <dimension ref="B4:D17"/>
  <sheetViews>
    <sheetView tabSelected="1" workbookViewId="0">
      <selection activeCell="C17" sqref="C17"/>
    </sheetView>
  </sheetViews>
  <sheetFormatPr defaultRowHeight="15" x14ac:dyDescent="0.25"/>
  <cols>
    <col min="3" max="3" width="13.28515625" style="2" bestFit="1" customWidth="1"/>
    <col min="4" max="4" width="9.140625" style="4"/>
  </cols>
  <sheetData>
    <row r="4" spans="2:4" x14ac:dyDescent="0.25">
      <c r="B4" t="s">
        <v>58</v>
      </c>
      <c r="C4" s="2">
        <f>'Income - Stage 1'!D24</f>
        <v>462500</v>
      </c>
      <c r="D4" s="4">
        <f>C4/$C$17</f>
        <v>0.31127961732529896</v>
      </c>
    </row>
    <row r="5" spans="2:4" x14ac:dyDescent="0.25">
      <c r="B5" t="s">
        <v>57</v>
      </c>
      <c r="C5" s="2">
        <f>'Income - Stage 1'!D127</f>
        <v>475000</v>
      </c>
      <c r="D5" s="4">
        <f t="shared" ref="D5:D13" si="0">C5/$C$17</f>
        <v>0.31969257995571243</v>
      </c>
    </row>
    <row r="6" spans="2:4" x14ac:dyDescent="0.25">
      <c r="B6" t="s">
        <v>56</v>
      </c>
      <c r="D6" s="4">
        <f t="shared" si="0"/>
        <v>0</v>
      </c>
    </row>
    <row r="7" spans="2:4" x14ac:dyDescent="0.25">
      <c r="B7" t="s">
        <v>59</v>
      </c>
      <c r="C7" s="2">
        <f>'Domestic Holidays'!D29</f>
        <v>115568.23521989054</v>
      </c>
      <c r="D7" s="4">
        <f t="shared" si="0"/>
        <v>7.7781699533421983E-2</v>
      </c>
    </row>
    <row r="8" spans="2:4" x14ac:dyDescent="0.25">
      <c r="B8" t="s">
        <v>60</v>
      </c>
      <c r="C8" s="2">
        <f>'International Holidays'!D29</f>
        <v>142534.15677119835</v>
      </c>
      <c r="D8" s="4">
        <f t="shared" si="0"/>
        <v>9.5930762757887117E-2</v>
      </c>
    </row>
    <row r="9" spans="2:4" x14ac:dyDescent="0.25">
      <c r="D9" s="4">
        <f t="shared" si="0"/>
        <v>0</v>
      </c>
    </row>
    <row r="10" spans="2:4" x14ac:dyDescent="0.25">
      <c r="D10" s="4">
        <f t="shared" si="0"/>
        <v>0</v>
      </c>
    </row>
    <row r="11" spans="2:4" x14ac:dyDescent="0.25">
      <c r="B11" t="s">
        <v>55</v>
      </c>
      <c r="C11" s="2">
        <f>'Car - P1'!D29</f>
        <v>112500</v>
      </c>
      <c r="D11" s="4">
        <f t="shared" si="0"/>
        <v>7.5716663673721374E-2</v>
      </c>
    </row>
    <row r="12" spans="2:4" x14ac:dyDescent="0.25">
      <c r="B12" t="s">
        <v>54</v>
      </c>
      <c r="C12" s="2">
        <f>'Car P2'!D29</f>
        <v>96200</v>
      </c>
      <c r="D12" s="4">
        <f t="shared" si="0"/>
        <v>6.4746160403662184E-2</v>
      </c>
    </row>
    <row r="13" spans="2:4" x14ac:dyDescent="0.25">
      <c r="B13" t="s">
        <v>53</v>
      </c>
      <c r="C13" s="2">
        <f>Carvan!D50</f>
        <v>81500</v>
      </c>
      <c r="D13" s="4">
        <f t="shared" si="0"/>
        <v>5.4852516350295928E-2</v>
      </c>
    </row>
    <row r="17" spans="3:4" x14ac:dyDescent="0.25">
      <c r="C17" s="2">
        <f>SUM(C4:C15)</f>
        <v>1485802.3919910889</v>
      </c>
      <c r="D17" s="4">
        <f>SUM(D4:D15)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8B3D-D69C-48F2-917C-9239E20D7398}">
  <dimension ref="A1"/>
  <sheetViews>
    <sheetView workbookViewId="0">
      <selection activeCell="D31" sqref="D3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71EE-1D00-4C09-B989-11954A0147AB}">
  <dimension ref="B2:W147"/>
  <sheetViews>
    <sheetView topLeftCell="A103" workbookViewId="0">
      <selection activeCell="A47" sqref="A47:XFD161"/>
    </sheetView>
  </sheetViews>
  <sheetFormatPr defaultColWidth="9.28515625" defaultRowHeight="15" x14ac:dyDescent="0.25"/>
  <cols>
    <col min="2" max="2" width="35.42578125" bestFit="1" customWidth="1"/>
    <col min="3" max="3" width="12.140625" bestFit="1" customWidth="1"/>
    <col min="4" max="20" width="10.5703125" bestFit="1" customWidth="1"/>
    <col min="22" max="22" width="9" bestFit="1" customWidth="1"/>
    <col min="23" max="23" width="7.42578125" bestFit="1" customWidth="1"/>
  </cols>
  <sheetData>
    <row r="2" spans="2:4" x14ac:dyDescent="0.25">
      <c r="B2" s="7" t="s">
        <v>22</v>
      </c>
    </row>
    <row r="3" spans="2:4" s="11" customFormat="1" x14ac:dyDescent="0.25">
      <c r="B3" s="11" t="s">
        <v>35</v>
      </c>
      <c r="C3" s="11">
        <v>2026</v>
      </c>
    </row>
    <row r="4" spans="2:4" x14ac:dyDescent="0.25">
      <c r="B4" t="s">
        <v>12</v>
      </c>
      <c r="C4" s="7">
        <v>1</v>
      </c>
    </row>
    <row r="5" spans="2:4" x14ac:dyDescent="0.25">
      <c r="B5" t="s">
        <v>27</v>
      </c>
      <c r="C5" s="7">
        <v>5</v>
      </c>
    </row>
    <row r="6" spans="2:4" x14ac:dyDescent="0.25">
      <c r="B6" t="s">
        <v>13</v>
      </c>
      <c r="C6" s="11">
        <f>C3+C5</f>
        <v>2031</v>
      </c>
    </row>
    <row r="7" spans="2:4" x14ac:dyDescent="0.25">
      <c r="B7" t="s">
        <v>19</v>
      </c>
      <c r="C7" s="6">
        <v>65</v>
      </c>
    </row>
    <row r="8" spans="2:4" x14ac:dyDescent="0.25">
      <c r="B8" t="s">
        <v>20</v>
      </c>
      <c r="C8" s="6">
        <v>62</v>
      </c>
    </row>
    <row r="9" spans="2:4" x14ac:dyDescent="0.25">
      <c r="B9" t="s">
        <v>4</v>
      </c>
      <c r="C9" s="5">
        <v>0.15</v>
      </c>
    </row>
    <row r="10" spans="2:4" x14ac:dyDescent="0.25">
      <c r="B10" t="s">
        <v>18</v>
      </c>
      <c r="C10" s="5">
        <v>1.0999999999999999E-2</v>
      </c>
    </row>
    <row r="11" spans="2:4" x14ac:dyDescent="0.25">
      <c r="B11" t="s">
        <v>21</v>
      </c>
      <c r="C11" s="5">
        <v>0.03</v>
      </c>
    </row>
    <row r="12" spans="2:4" x14ac:dyDescent="0.25">
      <c r="C12" s="11"/>
    </row>
    <row r="13" spans="2:4" x14ac:dyDescent="0.25">
      <c r="B13" t="s">
        <v>23</v>
      </c>
      <c r="C13" s="7" t="s">
        <v>24</v>
      </c>
      <c r="D13" t="s">
        <v>34</v>
      </c>
    </row>
    <row r="14" spans="2:4" x14ac:dyDescent="0.25">
      <c r="B14" t="s">
        <v>25</v>
      </c>
      <c r="C14" s="11"/>
    </row>
    <row r="15" spans="2:4" x14ac:dyDescent="0.25">
      <c r="B15" t="s">
        <v>2</v>
      </c>
      <c r="C15" s="5">
        <v>4.4999999999999998E-2</v>
      </c>
    </row>
    <row r="16" spans="2:4" x14ac:dyDescent="0.25">
      <c r="B16" t="s">
        <v>7</v>
      </c>
      <c r="C16" s="5">
        <v>5.0000000000000001E-3</v>
      </c>
    </row>
    <row r="18" spans="2:22" x14ac:dyDescent="0.25">
      <c r="B18" s="11" t="s">
        <v>28</v>
      </c>
      <c r="D18" s="11">
        <f>C3</f>
        <v>2026</v>
      </c>
      <c r="E18">
        <f>D18+1</f>
        <v>2027</v>
      </c>
      <c r="F18">
        <f t="shared" ref="F18:M18" si="0">E18+1</f>
        <v>2028</v>
      </c>
      <c r="G18">
        <f t="shared" si="0"/>
        <v>2029</v>
      </c>
      <c r="H18">
        <f t="shared" si="0"/>
        <v>2030</v>
      </c>
      <c r="I18">
        <f t="shared" si="0"/>
        <v>2031</v>
      </c>
      <c r="J18">
        <f t="shared" si="0"/>
        <v>2032</v>
      </c>
      <c r="K18">
        <f t="shared" si="0"/>
        <v>2033</v>
      </c>
      <c r="L18">
        <f t="shared" si="0"/>
        <v>2034</v>
      </c>
      <c r="M18">
        <f t="shared" si="0"/>
        <v>2035</v>
      </c>
    </row>
    <row r="19" spans="2:22" x14ac:dyDescent="0.25">
      <c r="B19" t="s">
        <v>3</v>
      </c>
      <c r="D19">
        <v>0</v>
      </c>
      <c r="E19">
        <f>D19+1</f>
        <v>1</v>
      </c>
      <c r="F19">
        <f t="shared" ref="F19:M21" si="1">E19+1</f>
        <v>2</v>
      </c>
      <c r="G19">
        <f t="shared" si="1"/>
        <v>3</v>
      </c>
      <c r="H19">
        <f t="shared" si="1"/>
        <v>4</v>
      </c>
      <c r="I19">
        <f t="shared" si="1"/>
        <v>5</v>
      </c>
      <c r="J19">
        <f t="shared" si="1"/>
        <v>6</v>
      </c>
      <c r="K19">
        <f t="shared" si="1"/>
        <v>7</v>
      </c>
      <c r="L19">
        <f t="shared" si="1"/>
        <v>8</v>
      </c>
      <c r="M19" s="7">
        <f t="shared" si="1"/>
        <v>9</v>
      </c>
    </row>
    <row r="20" spans="2:22" x14ac:dyDescent="0.25">
      <c r="B20" t="s">
        <v>19</v>
      </c>
      <c r="D20" s="3">
        <f>C7</f>
        <v>65</v>
      </c>
      <c r="E20" s="3">
        <f>D20+1</f>
        <v>66</v>
      </c>
      <c r="F20" s="3">
        <f t="shared" si="1"/>
        <v>67</v>
      </c>
      <c r="G20" s="3">
        <f t="shared" si="1"/>
        <v>68</v>
      </c>
      <c r="H20" s="3">
        <f t="shared" si="1"/>
        <v>69</v>
      </c>
      <c r="I20" s="3">
        <f t="shared" si="1"/>
        <v>70</v>
      </c>
      <c r="J20" s="3">
        <f t="shared" si="1"/>
        <v>71</v>
      </c>
      <c r="K20" s="3">
        <f t="shared" si="1"/>
        <v>72</v>
      </c>
      <c r="L20" s="3">
        <f t="shared" si="1"/>
        <v>73</v>
      </c>
      <c r="M20" s="3">
        <f t="shared" si="1"/>
        <v>74</v>
      </c>
    </row>
    <row r="21" spans="2:22" x14ac:dyDescent="0.25">
      <c r="B21" t="s">
        <v>20</v>
      </c>
      <c r="D21" s="3">
        <f>C8</f>
        <v>62</v>
      </c>
      <c r="E21" s="3">
        <f>D21+1</f>
        <v>63</v>
      </c>
      <c r="F21" s="3">
        <f t="shared" si="1"/>
        <v>64</v>
      </c>
      <c r="G21" s="3">
        <f t="shared" si="1"/>
        <v>65</v>
      </c>
      <c r="H21" s="3">
        <f t="shared" si="1"/>
        <v>66</v>
      </c>
      <c r="I21" s="3">
        <f t="shared" si="1"/>
        <v>67</v>
      </c>
      <c r="J21" s="3">
        <f t="shared" si="1"/>
        <v>68</v>
      </c>
      <c r="K21" s="3">
        <f t="shared" si="1"/>
        <v>69</v>
      </c>
      <c r="L21" s="3">
        <f t="shared" si="1"/>
        <v>70</v>
      </c>
      <c r="M21" s="3">
        <f t="shared" si="1"/>
        <v>71</v>
      </c>
    </row>
    <row r="22" spans="2:22" x14ac:dyDescent="0.25">
      <c r="M22" s="7"/>
    </row>
    <row r="24" spans="2:22" x14ac:dyDescent="0.25">
      <c r="B24" t="s">
        <v>0</v>
      </c>
      <c r="D24" s="13">
        <v>462500</v>
      </c>
      <c r="E24" s="8">
        <f>D34-D42</f>
        <v>397415.625</v>
      </c>
      <c r="F24" s="8">
        <f t="shared" ref="F24:M24" si="2">E34-E42</f>
        <v>327832.27890625002</v>
      </c>
      <c r="G24" s="8">
        <f t="shared" si="2"/>
        <v>253532.8699009766</v>
      </c>
      <c r="H24" s="8">
        <f t="shared" si="2"/>
        <v>174291.14495528309</v>
      </c>
      <c r="I24" s="8">
        <f t="shared" si="2"/>
        <v>89871.329580090955</v>
      </c>
      <c r="J24" s="8">
        <f t="shared" si="2"/>
        <v>27.7540150488785</v>
      </c>
      <c r="K24" s="8">
        <f t="shared" si="2"/>
        <v>28.954376199742494</v>
      </c>
      <c r="L24" s="8">
        <f t="shared" si="2"/>
        <v>30.206652970381356</v>
      </c>
      <c r="M24" s="8">
        <f t="shared" si="2"/>
        <v>31.513090711350351</v>
      </c>
    </row>
    <row r="25" spans="2:22" x14ac:dyDescent="0.25">
      <c r="B25" t="s">
        <v>2</v>
      </c>
      <c r="D25" s="9">
        <f>C15</f>
        <v>4.4999999999999998E-2</v>
      </c>
      <c r="E25" s="1">
        <f>D25</f>
        <v>4.4999999999999998E-2</v>
      </c>
      <c r="F25" s="1">
        <f t="shared" ref="F25:M25" si="3">E25</f>
        <v>4.4999999999999998E-2</v>
      </c>
      <c r="G25" s="1">
        <f t="shared" si="3"/>
        <v>4.4999999999999998E-2</v>
      </c>
      <c r="H25" s="1">
        <f t="shared" si="3"/>
        <v>4.4999999999999998E-2</v>
      </c>
      <c r="I25" s="1">
        <f t="shared" si="3"/>
        <v>4.4999999999999998E-2</v>
      </c>
      <c r="J25" s="1">
        <f t="shared" si="3"/>
        <v>4.4999999999999998E-2</v>
      </c>
      <c r="K25" s="1">
        <f t="shared" si="3"/>
        <v>4.4999999999999998E-2</v>
      </c>
      <c r="L25" s="1">
        <f t="shared" si="3"/>
        <v>4.4999999999999998E-2</v>
      </c>
      <c r="M25" s="1">
        <f t="shared" si="3"/>
        <v>4.4999999999999998E-2</v>
      </c>
    </row>
    <row r="26" spans="2:22" x14ac:dyDescent="0.25">
      <c r="B26" t="s">
        <v>1</v>
      </c>
      <c r="D26" s="10">
        <f>D24*D25</f>
        <v>20812.5</v>
      </c>
      <c r="E26" s="3">
        <f t="shared" ref="E26:M26" si="4">E24*E25</f>
        <v>17883.703125</v>
      </c>
      <c r="F26" s="3">
        <f t="shared" si="4"/>
        <v>14752.45255078125</v>
      </c>
      <c r="G26" s="3">
        <f t="shared" si="4"/>
        <v>11408.979145543946</v>
      </c>
      <c r="H26" s="3">
        <f t="shared" si="4"/>
        <v>7843.1015229877385</v>
      </c>
      <c r="I26" s="3">
        <f t="shared" si="4"/>
        <v>4044.2098311040927</v>
      </c>
      <c r="J26" s="3">
        <f t="shared" si="4"/>
        <v>1.2489306771995325</v>
      </c>
      <c r="K26" s="3">
        <f t="shared" si="4"/>
        <v>1.3029469289884121</v>
      </c>
      <c r="L26" s="3">
        <f t="shared" si="4"/>
        <v>1.359299383667161</v>
      </c>
      <c r="M26" s="3">
        <f t="shared" si="4"/>
        <v>1.4180890820107657</v>
      </c>
    </row>
    <row r="27" spans="2:22" x14ac:dyDescent="0.25">
      <c r="B27" t="s">
        <v>4</v>
      </c>
      <c r="D27" s="9">
        <f>C9</f>
        <v>0.15</v>
      </c>
      <c r="E27" s="4">
        <f>D27</f>
        <v>0.15</v>
      </c>
      <c r="F27" s="4">
        <f t="shared" ref="F27:M27" si="5">E27</f>
        <v>0.15</v>
      </c>
      <c r="G27" s="4">
        <f t="shared" si="5"/>
        <v>0.15</v>
      </c>
      <c r="H27" s="4">
        <f t="shared" si="5"/>
        <v>0.15</v>
      </c>
      <c r="I27" s="4">
        <f t="shared" si="5"/>
        <v>0.15</v>
      </c>
      <c r="J27" s="4">
        <f t="shared" si="5"/>
        <v>0.15</v>
      </c>
      <c r="K27" s="4">
        <f t="shared" si="5"/>
        <v>0.15</v>
      </c>
      <c r="L27" s="4">
        <f t="shared" si="5"/>
        <v>0.15</v>
      </c>
      <c r="M27" s="4">
        <f t="shared" si="5"/>
        <v>0.15</v>
      </c>
    </row>
    <row r="28" spans="2:22" x14ac:dyDescent="0.25">
      <c r="B28" t="s">
        <v>5</v>
      </c>
      <c r="D28" s="10">
        <f>IF((D26*D27)&lt;0,0,(D26*D27))</f>
        <v>3121.875</v>
      </c>
      <c r="E28" s="10">
        <f t="shared" ref="E28:M28" si="6">IF((E26*E27)&lt;0,0,(E26*E27))</f>
        <v>2682.5554687499998</v>
      </c>
      <c r="F28" s="10">
        <f t="shared" si="6"/>
        <v>2212.8678826171877</v>
      </c>
      <c r="G28" s="10">
        <f t="shared" si="6"/>
        <v>1711.3468718315919</v>
      </c>
      <c r="H28" s="10">
        <f t="shared" si="6"/>
        <v>1176.4652284481608</v>
      </c>
      <c r="I28" s="10">
        <f t="shared" si="6"/>
        <v>606.63147466561384</v>
      </c>
      <c r="J28" s="10">
        <f t="shared" si="6"/>
        <v>0.18733960157992988</v>
      </c>
      <c r="K28" s="10">
        <f t="shared" si="6"/>
        <v>0.19544203934826182</v>
      </c>
      <c r="L28" s="10">
        <f t="shared" si="6"/>
        <v>0.20389490755007414</v>
      </c>
      <c r="M28" s="10">
        <f t="shared" si="6"/>
        <v>0.21271336230161483</v>
      </c>
      <c r="V28" s="3">
        <f>SUM(D28:N28)</f>
        <v>11512.541316223336</v>
      </c>
    </row>
    <row r="29" spans="2:22" x14ac:dyDescent="0.25">
      <c r="B29" t="s">
        <v>6</v>
      </c>
      <c r="D29" s="10">
        <f>IF((D26-D28)&lt;0,0,(D26-D28))</f>
        <v>17690.625</v>
      </c>
      <c r="E29" s="10">
        <f t="shared" ref="E29:M29" si="7">IF((E26-E28)&lt;0,0,(E26-E28))</f>
        <v>15201.147656249999</v>
      </c>
      <c r="F29" s="10">
        <f t="shared" si="7"/>
        <v>12539.584668164063</v>
      </c>
      <c r="G29" s="10">
        <f t="shared" si="7"/>
        <v>9697.6322737123537</v>
      </c>
      <c r="H29" s="10">
        <f t="shared" si="7"/>
        <v>6666.6362945395776</v>
      </c>
      <c r="I29" s="10">
        <f t="shared" si="7"/>
        <v>3437.5783564384787</v>
      </c>
      <c r="J29" s="10">
        <f t="shared" si="7"/>
        <v>1.0615910756196028</v>
      </c>
      <c r="K29" s="10">
        <f t="shared" si="7"/>
        <v>1.1075048896401503</v>
      </c>
      <c r="L29" s="10">
        <f t="shared" si="7"/>
        <v>1.1554044761170867</v>
      </c>
      <c r="M29" s="10">
        <f t="shared" si="7"/>
        <v>1.2053757197091508</v>
      </c>
      <c r="V29" s="3">
        <f>SUM(D29:N29)</f>
        <v>65237.734125265546</v>
      </c>
    </row>
    <row r="30" spans="2:22" x14ac:dyDescent="0.25">
      <c r="D30" s="11"/>
      <c r="V30" s="3"/>
    </row>
    <row r="31" spans="2:22" x14ac:dyDescent="0.25">
      <c r="B31" t="s">
        <v>7</v>
      </c>
      <c r="D31" s="9">
        <f>C16</f>
        <v>5.0000000000000001E-3</v>
      </c>
      <c r="E31" s="1">
        <f>D31</f>
        <v>5.0000000000000001E-3</v>
      </c>
      <c r="F31" s="1">
        <f t="shared" ref="F31:M31" si="8">E31</f>
        <v>5.0000000000000001E-3</v>
      </c>
      <c r="G31" s="1">
        <f t="shared" si="8"/>
        <v>5.0000000000000001E-3</v>
      </c>
      <c r="H31" s="1">
        <f t="shared" si="8"/>
        <v>5.0000000000000001E-3</v>
      </c>
      <c r="I31" s="1">
        <f t="shared" si="8"/>
        <v>5.0000000000000001E-3</v>
      </c>
      <c r="J31" s="1">
        <f t="shared" si="8"/>
        <v>5.0000000000000001E-3</v>
      </c>
      <c r="K31" s="1">
        <f t="shared" si="8"/>
        <v>5.0000000000000001E-3</v>
      </c>
      <c r="L31" s="1">
        <f t="shared" si="8"/>
        <v>5.0000000000000001E-3</v>
      </c>
      <c r="M31" s="1">
        <f t="shared" si="8"/>
        <v>5.0000000000000001E-3</v>
      </c>
    </row>
    <row r="32" spans="2:22" x14ac:dyDescent="0.25">
      <c r="B32" t="s">
        <v>8</v>
      </c>
      <c r="D32" s="10">
        <f>IF((D31*D24)&lt;0,0,(D31*D24))</f>
        <v>2312.5</v>
      </c>
      <c r="E32" s="10">
        <f t="shared" ref="E32:M32" si="9">IF((E31*E24)&lt;0,0,(E31*E24))</f>
        <v>1987.078125</v>
      </c>
      <c r="F32" s="10">
        <f t="shared" si="9"/>
        <v>1639.1613945312502</v>
      </c>
      <c r="G32" s="10">
        <f t="shared" si="9"/>
        <v>1267.6643495048829</v>
      </c>
      <c r="H32" s="10">
        <f t="shared" si="9"/>
        <v>871.45572477641542</v>
      </c>
      <c r="I32" s="10">
        <f t="shared" si="9"/>
        <v>449.35664790045479</v>
      </c>
      <c r="J32" s="10">
        <f t="shared" si="9"/>
        <v>0.1387700752443925</v>
      </c>
      <c r="K32" s="10">
        <f t="shared" si="9"/>
        <v>0.14477188099871247</v>
      </c>
      <c r="L32" s="10">
        <f t="shared" si="9"/>
        <v>0.1510332648519068</v>
      </c>
      <c r="M32" s="10">
        <f t="shared" si="9"/>
        <v>0.15756545355675175</v>
      </c>
      <c r="V32" s="3">
        <f>SUM(D32:M32)</f>
        <v>8527.808382387655</v>
      </c>
    </row>
    <row r="33" spans="2:23" x14ac:dyDescent="0.25">
      <c r="D33" s="11"/>
    </row>
    <row r="34" spans="2:23" x14ac:dyDescent="0.25">
      <c r="B34" t="s">
        <v>9</v>
      </c>
      <c r="D34" s="10">
        <f>D24+D29+D32</f>
        <v>482503.125</v>
      </c>
      <c r="E34" s="3">
        <f t="shared" ref="E34:M34" si="10">E24+E29+E32</f>
        <v>414603.85078124999</v>
      </c>
      <c r="F34" s="3">
        <f t="shared" si="10"/>
        <v>342011.02496894536</v>
      </c>
      <c r="G34" s="3">
        <f t="shared" si="10"/>
        <v>264498.16652419383</v>
      </c>
      <c r="H34" s="3">
        <f t="shared" si="10"/>
        <v>181829.23697459907</v>
      </c>
      <c r="I34" s="3">
        <f t="shared" si="10"/>
        <v>93758.264584429882</v>
      </c>
      <c r="J34" s="3">
        <f t="shared" si="10"/>
        <v>28.954376199742494</v>
      </c>
      <c r="K34" s="3">
        <f t="shared" si="10"/>
        <v>30.206652970381356</v>
      </c>
      <c r="L34" s="3">
        <f t="shared" si="10"/>
        <v>31.513090711350351</v>
      </c>
      <c r="M34" s="3">
        <f t="shared" si="10"/>
        <v>32.876031884616253</v>
      </c>
    </row>
    <row r="35" spans="2:23" x14ac:dyDescent="0.25">
      <c r="D35" s="11"/>
    </row>
    <row r="36" spans="2:23" x14ac:dyDescent="0.25">
      <c r="B36" t="s">
        <v>16</v>
      </c>
      <c r="D36" s="6">
        <v>80000</v>
      </c>
      <c r="E36" s="2">
        <f>D36*(1+D37)</f>
        <v>82400</v>
      </c>
      <c r="F36" s="2">
        <f t="shared" ref="F36:M36" si="11">E36*(1+E37)</f>
        <v>84872</v>
      </c>
      <c r="G36" s="2">
        <f t="shared" si="11"/>
        <v>87418.16</v>
      </c>
      <c r="H36" s="2">
        <f t="shared" si="11"/>
        <v>90040.704800000007</v>
      </c>
      <c r="I36" s="2">
        <f t="shared" si="11"/>
        <v>92741.925944000002</v>
      </c>
      <c r="J36" s="2">
        <f t="shared" si="11"/>
        <v>95524.183722319998</v>
      </c>
      <c r="K36" s="2">
        <f t="shared" si="11"/>
        <v>98389.909233989601</v>
      </c>
      <c r="L36" s="2">
        <f t="shared" si="11"/>
        <v>101341.60651100929</v>
      </c>
      <c r="M36" s="2">
        <f t="shared" si="11"/>
        <v>104381.85470633957</v>
      </c>
    </row>
    <row r="37" spans="2:23" x14ac:dyDescent="0.25">
      <c r="B37" t="s">
        <v>11</v>
      </c>
      <c r="D37" s="9">
        <f>C11</f>
        <v>0.03</v>
      </c>
      <c r="E37" s="1">
        <f>D37</f>
        <v>0.03</v>
      </c>
      <c r="F37" s="1">
        <f t="shared" ref="F37:M37" si="12">E37</f>
        <v>0.03</v>
      </c>
      <c r="G37" s="1">
        <f t="shared" si="12"/>
        <v>0.03</v>
      </c>
      <c r="H37" s="1">
        <f t="shared" si="12"/>
        <v>0.03</v>
      </c>
      <c r="I37" s="1">
        <f t="shared" si="12"/>
        <v>0.03</v>
      </c>
      <c r="J37" s="1">
        <f t="shared" si="12"/>
        <v>0.03</v>
      </c>
      <c r="K37" s="1">
        <f t="shared" si="12"/>
        <v>0.03</v>
      </c>
      <c r="L37" s="1">
        <f t="shared" si="12"/>
        <v>0.03</v>
      </c>
      <c r="M37" s="1">
        <f t="shared" si="12"/>
        <v>0.03</v>
      </c>
    </row>
    <row r="38" spans="2:23" x14ac:dyDescent="0.25">
      <c r="B38" s="11"/>
      <c r="C38" s="11"/>
      <c r="D38" s="9"/>
      <c r="E38" s="1"/>
      <c r="F38" s="1"/>
      <c r="G38" s="1"/>
      <c r="H38" s="1"/>
      <c r="I38" s="1"/>
      <c r="J38" s="1"/>
      <c r="K38" s="1"/>
      <c r="L38" s="1"/>
      <c r="M38" s="1"/>
    </row>
    <row r="39" spans="2:23" x14ac:dyDescent="0.25">
      <c r="B39" s="11" t="s">
        <v>14</v>
      </c>
      <c r="C39" s="11"/>
      <c r="D39" s="9">
        <f>C10</f>
        <v>1.0999999999999999E-2</v>
      </c>
      <c r="E39" s="1">
        <f>D39</f>
        <v>1.0999999999999999E-2</v>
      </c>
      <c r="F39" s="1">
        <f t="shared" ref="F39:M39" si="13">E39</f>
        <v>1.0999999999999999E-2</v>
      </c>
      <c r="G39" s="1">
        <f t="shared" si="13"/>
        <v>1.0999999999999999E-2</v>
      </c>
      <c r="H39" s="1">
        <f t="shared" si="13"/>
        <v>1.0999999999999999E-2</v>
      </c>
      <c r="I39" s="1">
        <f t="shared" si="13"/>
        <v>1.0999999999999999E-2</v>
      </c>
      <c r="J39" s="1">
        <f t="shared" si="13"/>
        <v>1.0999999999999999E-2</v>
      </c>
      <c r="K39" s="1">
        <f t="shared" si="13"/>
        <v>1.0999999999999999E-2</v>
      </c>
      <c r="L39" s="1">
        <f t="shared" si="13"/>
        <v>1.0999999999999999E-2</v>
      </c>
      <c r="M39" s="1">
        <f t="shared" si="13"/>
        <v>1.0999999999999999E-2</v>
      </c>
    </row>
    <row r="40" spans="2:23" x14ac:dyDescent="0.25">
      <c r="B40" s="11" t="s">
        <v>15</v>
      </c>
      <c r="D40" s="2">
        <f>IF((D39*D24)&lt;0,0,(D39*D24))</f>
        <v>5087.5</v>
      </c>
      <c r="E40" s="2">
        <f t="shared" ref="E40:M40" si="14">IF((E39*E24)&lt;0,0,(E39*E24))</f>
        <v>4371.5718749999996</v>
      </c>
      <c r="F40" s="2">
        <f t="shared" si="14"/>
        <v>3606.1550679687502</v>
      </c>
      <c r="G40" s="2">
        <f t="shared" si="14"/>
        <v>2788.8615689107423</v>
      </c>
      <c r="H40" s="2">
        <f t="shared" si="14"/>
        <v>1917.2025945081139</v>
      </c>
      <c r="I40" s="2">
        <f t="shared" si="14"/>
        <v>988.58462538100048</v>
      </c>
      <c r="J40" s="2">
        <f t="shared" si="14"/>
        <v>0.30529416553766348</v>
      </c>
      <c r="K40" s="2">
        <f t="shared" si="14"/>
        <v>0.31849813819716744</v>
      </c>
      <c r="L40" s="2">
        <f t="shared" si="14"/>
        <v>0.33227318267419487</v>
      </c>
      <c r="M40" s="2">
        <f t="shared" si="14"/>
        <v>0.34664399782485383</v>
      </c>
      <c r="V40" s="3">
        <f>SUM(D40:N40)</f>
        <v>18761.17844125284</v>
      </c>
      <c r="W40" s="4">
        <f>V40/V42</f>
        <v>3.4987011448883117E-2</v>
      </c>
    </row>
    <row r="41" spans="2:23" x14ac:dyDescent="0.25">
      <c r="B41" s="11"/>
    </row>
    <row r="42" spans="2:23" x14ac:dyDescent="0.25">
      <c r="B42" t="s">
        <v>17</v>
      </c>
      <c r="D42" s="3">
        <f>IF(D19&lt;=$C$5,(D36+D40),0)</f>
        <v>85087.5</v>
      </c>
      <c r="E42" s="3">
        <f t="shared" ref="E42:M42" si="15">IF(E19&lt;=$C$5,(E36+E40),0)</f>
        <v>86771.571874999994</v>
      </c>
      <c r="F42" s="3">
        <f t="shared" si="15"/>
        <v>88478.15506796875</v>
      </c>
      <c r="G42" s="3">
        <f t="shared" si="15"/>
        <v>90207.021568910743</v>
      </c>
      <c r="H42" s="3">
        <f t="shared" si="15"/>
        <v>91957.907394508118</v>
      </c>
      <c r="I42" s="3">
        <f t="shared" si="15"/>
        <v>93730.510569381004</v>
      </c>
      <c r="J42" s="3">
        <f t="shared" si="15"/>
        <v>0</v>
      </c>
      <c r="K42" s="3">
        <f t="shared" si="15"/>
        <v>0</v>
      </c>
      <c r="L42" s="3">
        <f t="shared" si="15"/>
        <v>0</v>
      </c>
      <c r="M42" s="3">
        <f t="shared" si="15"/>
        <v>0</v>
      </c>
      <c r="V42" s="3">
        <f>SUM(D42:N42)</f>
        <v>536232.66647576867</v>
      </c>
    </row>
    <row r="43" spans="2:23" x14ac:dyDescent="0.25">
      <c r="B43" s="11"/>
    </row>
    <row r="44" spans="2:23" x14ac:dyDescent="0.25">
      <c r="B44" t="s">
        <v>10</v>
      </c>
      <c r="D44" s="3">
        <f>D34-D36</f>
        <v>402503.125</v>
      </c>
      <c r="E44" s="3">
        <f>E34-E36</f>
        <v>332203.85078124999</v>
      </c>
      <c r="F44" s="3">
        <f>F34-F36</f>
        <v>257139.02496894536</v>
      </c>
      <c r="G44" s="3">
        <f>G34-G36</f>
        <v>177080.00652419383</v>
      </c>
      <c r="H44" s="3">
        <f>H34-H36</f>
        <v>91788.532174599066</v>
      </c>
      <c r="I44" s="3">
        <f>I34-I36</f>
        <v>1016.3386404298799</v>
      </c>
      <c r="J44" s="3">
        <f>J34-J36</f>
        <v>-95495.22934612025</v>
      </c>
      <c r="K44" s="3">
        <f>K34-K36</f>
        <v>-98359.702581019214</v>
      </c>
      <c r="L44" s="3">
        <f>L34-L36</f>
        <v>-101310.09342029794</v>
      </c>
      <c r="M44" s="3">
        <f>M34-M36</f>
        <v>-104348.97867445495</v>
      </c>
    </row>
    <row r="47" spans="2:23" x14ac:dyDescent="0.25">
      <c r="B47" s="7" t="s">
        <v>26</v>
      </c>
    </row>
    <row r="48" spans="2:23" s="11" customFormat="1" x14ac:dyDescent="0.25">
      <c r="B48" s="11" t="s">
        <v>35</v>
      </c>
      <c r="C48" s="11">
        <f>(C3+C5)+1</f>
        <v>2032</v>
      </c>
    </row>
    <row r="49" spans="2:4" x14ac:dyDescent="0.25">
      <c r="B49" t="s">
        <v>12</v>
      </c>
      <c r="C49" s="7">
        <f>C48-C3</f>
        <v>6</v>
      </c>
    </row>
    <row r="50" spans="2:4" x14ac:dyDescent="0.25">
      <c r="B50" t="s">
        <v>27</v>
      </c>
      <c r="C50" s="7">
        <v>10</v>
      </c>
    </row>
    <row r="51" spans="2:4" x14ac:dyDescent="0.25">
      <c r="B51" t="s">
        <v>13</v>
      </c>
      <c r="C51" s="11">
        <f>C48+C50</f>
        <v>2042</v>
      </c>
    </row>
    <row r="52" spans="2:4" x14ac:dyDescent="0.25">
      <c r="B52" t="s">
        <v>36</v>
      </c>
      <c r="C52" s="11">
        <f>C51+1</f>
        <v>2043</v>
      </c>
    </row>
    <row r="53" spans="2:4" x14ac:dyDescent="0.25">
      <c r="C53" s="11"/>
    </row>
    <row r="54" spans="2:4" x14ac:dyDescent="0.25">
      <c r="B54" t="s">
        <v>29</v>
      </c>
      <c r="C54" s="6">
        <f>C7+C5</f>
        <v>70</v>
      </c>
    </row>
    <row r="55" spans="2:4" x14ac:dyDescent="0.25">
      <c r="B55" t="s">
        <v>31</v>
      </c>
      <c r="C55" s="12">
        <f>C54+C50</f>
        <v>80</v>
      </c>
    </row>
    <row r="56" spans="2:4" x14ac:dyDescent="0.25">
      <c r="C56" s="12"/>
    </row>
    <row r="57" spans="2:4" x14ac:dyDescent="0.25">
      <c r="B57" t="s">
        <v>30</v>
      </c>
      <c r="C57" s="6">
        <f>C8+C5</f>
        <v>67</v>
      </c>
    </row>
    <row r="58" spans="2:4" x14ac:dyDescent="0.25">
      <c r="B58" t="s">
        <v>32</v>
      </c>
      <c r="C58" s="12">
        <f>C57+C50</f>
        <v>77</v>
      </c>
    </row>
    <row r="59" spans="2:4" x14ac:dyDescent="0.25">
      <c r="C59" s="12"/>
    </row>
    <row r="60" spans="2:4" x14ac:dyDescent="0.25">
      <c r="B60" t="s">
        <v>4</v>
      </c>
      <c r="C60" s="5">
        <v>0.15</v>
      </c>
    </row>
    <row r="61" spans="2:4" x14ac:dyDescent="0.25">
      <c r="B61" t="s">
        <v>18</v>
      </c>
      <c r="C61" s="5">
        <v>1.0999999999999999E-2</v>
      </c>
    </row>
    <row r="62" spans="2:4" x14ac:dyDescent="0.25">
      <c r="B62" t="s">
        <v>21</v>
      </c>
      <c r="C62" s="5">
        <v>0.03</v>
      </c>
    </row>
    <row r="63" spans="2:4" x14ac:dyDescent="0.25">
      <c r="C63" s="11"/>
    </row>
    <row r="64" spans="2:4" x14ac:dyDescent="0.25">
      <c r="B64" t="s">
        <v>23</v>
      </c>
      <c r="C64" s="7" t="s">
        <v>33</v>
      </c>
      <c r="D64" t="s">
        <v>34</v>
      </c>
    </row>
    <row r="65" spans="2:22" x14ac:dyDescent="0.25">
      <c r="B65" t="s">
        <v>25</v>
      </c>
      <c r="C65" s="11"/>
    </row>
    <row r="66" spans="2:22" x14ac:dyDescent="0.25">
      <c r="B66" t="s">
        <v>2</v>
      </c>
      <c r="C66" s="5">
        <v>3.5000000000000003E-2</v>
      </c>
    </row>
    <row r="67" spans="2:22" x14ac:dyDescent="0.25">
      <c r="B67" t="s">
        <v>7</v>
      </c>
      <c r="C67" s="5">
        <v>4.4999999999999998E-2</v>
      </c>
    </row>
    <row r="69" spans="2:22" x14ac:dyDescent="0.25">
      <c r="B69" s="11" t="s">
        <v>28</v>
      </c>
      <c r="D69" s="11">
        <f>C48</f>
        <v>2032</v>
      </c>
      <c r="E69">
        <f>D69+1</f>
        <v>2033</v>
      </c>
      <c r="F69">
        <f t="shared" ref="F69:M69" si="16">E69+1</f>
        <v>2034</v>
      </c>
      <c r="G69">
        <f t="shared" si="16"/>
        <v>2035</v>
      </c>
      <c r="H69">
        <f t="shared" si="16"/>
        <v>2036</v>
      </c>
      <c r="I69">
        <f t="shared" si="16"/>
        <v>2037</v>
      </c>
      <c r="J69">
        <f t="shared" si="16"/>
        <v>2038</v>
      </c>
      <c r="K69">
        <f t="shared" si="16"/>
        <v>2039</v>
      </c>
      <c r="L69">
        <f t="shared" si="16"/>
        <v>2040</v>
      </c>
      <c r="M69">
        <f t="shared" si="16"/>
        <v>2041</v>
      </c>
      <c r="N69">
        <f t="shared" ref="N69:T69" si="17">M69+1</f>
        <v>2042</v>
      </c>
      <c r="O69">
        <f t="shared" si="17"/>
        <v>2043</v>
      </c>
      <c r="P69">
        <f t="shared" si="17"/>
        <v>2044</v>
      </c>
      <c r="Q69">
        <f t="shared" si="17"/>
        <v>2045</v>
      </c>
      <c r="R69">
        <f t="shared" si="17"/>
        <v>2046</v>
      </c>
      <c r="S69">
        <f t="shared" si="17"/>
        <v>2047</v>
      </c>
      <c r="T69">
        <f t="shared" si="17"/>
        <v>2048</v>
      </c>
    </row>
    <row r="70" spans="2:22" x14ac:dyDescent="0.25">
      <c r="B70" t="s">
        <v>3</v>
      </c>
      <c r="D70">
        <f>C49</f>
        <v>6</v>
      </c>
      <c r="E70">
        <f>D70+1</f>
        <v>7</v>
      </c>
      <c r="F70">
        <f t="shared" ref="F70:M70" si="18">E70+1</f>
        <v>8</v>
      </c>
      <c r="G70">
        <f t="shared" si="18"/>
        <v>9</v>
      </c>
      <c r="H70">
        <f t="shared" si="18"/>
        <v>10</v>
      </c>
      <c r="I70">
        <f t="shared" si="18"/>
        <v>11</v>
      </c>
      <c r="J70">
        <f t="shared" si="18"/>
        <v>12</v>
      </c>
      <c r="K70">
        <f t="shared" si="18"/>
        <v>13</v>
      </c>
      <c r="L70" s="11">
        <f t="shared" si="18"/>
        <v>14</v>
      </c>
      <c r="M70" s="11">
        <f t="shared" si="18"/>
        <v>15</v>
      </c>
      <c r="N70" s="11">
        <f t="shared" ref="N70:T70" si="19">M70+1</f>
        <v>16</v>
      </c>
      <c r="O70" s="11">
        <f t="shared" si="19"/>
        <v>17</v>
      </c>
      <c r="P70" s="11">
        <f t="shared" si="19"/>
        <v>18</v>
      </c>
      <c r="Q70" s="11">
        <f t="shared" si="19"/>
        <v>19</v>
      </c>
      <c r="R70" s="11">
        <f t="shared" si="19"/>
        <v>20</v>
      </c>
      <c r="S70" s="11">
        <f t="shared" si="19"/>
        <v>21</v>
      </c>
      <c r="T70" s="11">
        <f t="shared" si="19"/>
        <v>22</v>
      </c>
    </row>
    <row r="71" spans="2:22" x14ac:dyDescent="0.25">
      <c r="B71" t="s">
        <v>19</v>
      </c>
      <c r="D71" s="3">
        <f>C54</f>
        <v>70</v>
      </c>
      <c r="E71" s="3">
        <f>D71+1</f>
        <v>71</v>
      </c>
      <c r="F71" s="3">
        <f t="shared" ref="F71:M71" si="20">E71+1</f>
        <v>72</v>
      </c>
      <c r="G71" s="3">
        <f t="shared" si="20"/>
        <v>73</v>
      </c>
      <c r="H71" s="3">
        <f t="shared" si="20"/>
        <v>74</v>
      </c>
      <c r="I71" s="3">
        <f t="shared" si="20"/>
        <v>75</v>
      </c>
      <c r="J71" s="3">
        <f t="shared" si="20"/>
        <v>76</v>
      </c>
      <c r="K71" s="3">
        <f t="shared" si="20"/>
        <v>77</v>
      </c>
      <c r="L71" s="10">
        <f t="shared" si="20"/>
        <v>78</v>
      </c>
      <c r="M71" s="10">
        <f t="shared" si="20"/>
        <v>79</v>
      </c>
      <c r="N71" s="10">
        <f t="shared" ref="N71:T71" si="21">M71+1</f>
        <v>80</v>
      </c>
      <c r="O71" s="10">
        <f t="shared" si="21"/>
        <v>81</v>
      </c>
      <c r="P71" s="10">
        <f t="shared" si="21"/>
        <v>82</v>
      </c>
      <c r="Q71" s="10">
        <f t="shared" si="21"/>
        <v>83</v>
      </c>
      <c r="R71" s="10">
        <f t="shared" si="21"/>
        <v>84</v>
      </c>
      <c r="S71" s="10">
        <f t="shared" si="21"/>
        <v>85</v>
      </c>
      <c r="T71" s="10">
        <f t="shared" si="21"/>
        <v>86</v>
      </c>
    </row>
    <row r="72" spans="2:22" x14ac:dyDescent="0.25">
      <c r="B72" t="s">
        <v>20</v>
      </c>
      <c r="D72" s="3">
        <f>C57</f>
        <v>67</v>
      </c>
      <c r="E72" s="3">
        <f>D72+1</f>
        <v>68</v>
      </c>
      <c r="F72" s="3">
        <f t="shared" ref="F72:M72" si="22">E72+1</f>
        <v>69</v>
      </c>
      <c r="G72" s="3">
        <f t="shared" si="22"/>
        <v>70</v>
      </c>
      <c r="H72" s="3">
        <f t="shared" si="22"/>
        <v>71</v>
      </c>
      <c r="I72" s="3">
        <f t="shared" si="22"/>
        <v>72</v>
      </c>
      <c r="J72" s="3">
        <f t="shared" si="22"/>
        <v>73</v>
      </c>
      <c r="K72" s="3">
        <f t="shared" si="22"/>
        <v>74</v>
      </c>
      <c r="L72" s="10">
        <f t="shared" si="22"/>
        <v>75</v>
      </c>
      <c r="M72" s="10">
        <f t="shared" si="22"/>
        <v>76</v>
      </c>
      <c r="N72" s="10">
        <f t="shared" ref="N72:T72" si="23">M72+1</f>
        <v>77</v>
      </c>
      <c r="O72" s="10">
        <f t="shared" si="23"/>
        <v>78</v>
      </c>
      <c r="P72" s="10">
        <f t="shared" si="23"/>
        <v>79</v>
      </c>
      <c r="Q72" s="10">
        <f t="shared" si="23"/>
        <v>80</v>
      </c>
      <c r="R72" s="10">
        <f t="shared" si="23"/>
        <v>81</v>
      </c>
      <c r="S72" s="10">
        <f t="shared" si="23"/>
        <v>82</v>
      </c>
      <c r="T72" s="10">
        <f t="shared" si="23"/>
        <v>83</v>
      </c>
    </row>
    <row r="73" spans="2:22" x14ac:dyDescent="0.25">
      <c r="L73" s="11"/>
      <c r="M73" s="11"/>
      <c r="N73" s="11"/>
      <c r="O73" s="11"/>
      <c r="P73" s="11"/>
      <c r="Q73" s="11"/>
      <c r="R73" s="11"/>
      <c r="S73" s="11"/>
      <c r="T73" s="11"/>
    </row>
    <row r="75" spans="2:22" x14ac:dyDescent="0.25">
      <c r="B75" t="s">
        <v>0</v>
      </c>
      <c r="D75" s="13">
        <v>707800</v>
      </c>
      <c r="E75" s="8">
        <f>D85-D93</f>
        <v>672922.25</v>
      </c>
      <c r="F75" s="8">
        <f t="shared" ref="F75:M75" si="24">E85-E93</f>
        <v>633421.04343750002</v>
      </c>
      <c r="G75" s="8">
        <f t="shared" si="24"/>
        <v>588929.63495664054</v>
      </c>
      <c r="H75" s="8">
        <f t="shared" si="24"/>
        <v>539055.73918512627</v>
      </c>
      <c r="I75" s="8">
        <f t="shared" si="24"/>
        <v>483379.83775817807</v>
      </c>
      <c r="J75" s="8">
        <f t="shared" si="24"/>
        <v>421453.3764712619</v>
      </c>
      <c r="K75" s="8">
        <f t="shared" si="24"/>
        <v>352796.84549898485</v>
      </c>
      <c r="L75" s="8">
        <f t="shared" si="24"/>
        <v>276897.73516555561</v>
      </c>
      <c r="M75" s="8">
        <f t="shared" si="24"/>
        <v>193208.35927135046</v>
      </c>
      <c r="N75" s="8">
        <f t="shared" ref="N75:T75" si="25">M85-M93</f>
        <v>101143.5374685595</v>
      </c>
      <c r="O75" s="8">
        <f t="shared" si="25"/>
        <v>78.127634650416439</v>
      </c>
      <c r="P75" s="8">
        <f t="shared" si="25"/>
        <v>83.967675340535067</v>
      </c>
      <c r="Q75" s="8">
        <f t="shared" si="25"/>
        <v>90.244259072240069</v>
      </c>
      <c r="R75" s="8">
        <f t="shared" si="25"/>
        <v>96.990017437890018</v>
      </c>
      <c r="S75" s="8">
        <f t="shared" si="25"/>
        <v>104.24002124137229</v>
      </c>
      <c r="T75" s="8">
        <f t="shared" si="25"/>
        <v>112.03196282916487</v>
      </c>
    </row>
    <row r="76" spans="2:22" x14ac:dyDescent="0.25">
      <c r="B76" t="s">
        <v>2</v>
      </c>
      <c r="D76" s="9">
        <f>C66</f>
        <v>3.5000000000000003E-2</v>
      </c>
      <c r="E76" s="1">
        <f>D76</f>
        <v>3.5000000000000003E-2</v>
      </c>
      <c r="F76" s="1">
        <f t="shared" ref="F76:M76" si="26">E76</f>
        <v>3.5000000000000003E-2</v>
      </c>
      <c r="G76" s="1">
        <f t="shared" si="26"/>
        <v>3.5000000000000003E-2</v>
      </c>
      <c r="H76" s="1">
        <f t="shared" si="26"/>
        <v>3.5000000000000003E-2</v>
      </c>
      <c r="I76" s="1">
        <f t="shared" si="26"/>
        <v>3.5000000000000003E-2</v>
      </c>
      <c r="J76" s="1">
        <f t="shared" si="26"/>
        <v>3.5000000000000003E-2</v>
      </c>
      <c r="K76" s="1">
        <f t="shared" si="26"/>
        <v>3.5000000000000003E-2</v>
      </c>
      <c r="L76" s="1">
        <f t="shared" si="26"/>
        <v>3.5000000000000003E-2</v>
      </c>
      <c r="M76" s="1">
        <f t="shared" si="26"/>
        <v>3.5000000000000003E-2</v>
      </c>
      <c r="N76" s="1">
        <f t="shared" ref="N76:T76" si="27">M76</f>
        <v>3.5000000000000003E-2</v>
      </c>
      <c r="O76" s="1">
        <f t="shared" si="27"/>
        <v>3.5000000000000003E-2</v>
      </c>
      <c r="P76" s="1">
        <f t="shared" si="27"/>
        <v>3.5000000000000003E-2</v>
      </c>
      <c r="Q76" s="1">
        <f t="shared" si="27"/>
        <v>3.5000000000000003E-2</v>
      </c>
      <c r="R76" s="1">
        <f t="shared" si="27"/>
        <v>3.5000000000000003E-2</v>
      </c>
      <c r="S76" s="1">
        <f t="shared" si="27"/>
        <v>3.5000000000000003E-2</v>
      </c>
      <c r="T76" s="1">
        <f t="shared" si="27"/>
        <v>3.5000000000000003E-2</v>
      </c>
    </row>
    <row r="77" spans="2:22" x14ac:dyDescent="0.25">
      <c r="B77" t="s">
        <v>1</v>
      </c>
      <c r="D77" s="10">
        <f>D75*D76</f>
        <v>24773.000000000004</v>
      </c>
      <c r="E77" s="3">
        <f t="shared" ref="E77" si="28">E75*E76</f>
        <v>23552.278750000001</v>
      </c>
      <c r="F77" s="3">
        <f t="shared" ref="F77" si="29">F75*F76</f>
        <v>22169.736520312501</v>
      </c>
      <c r="G77" s="3">
        <f t="shared" ref="G77" si="30">G75*G76</f>
        <v>20612.537223482421</v>
      </c>
      <c r="H77" s="3">
        <f t="shared" ref="H77" si="31">H75*H76</f>
        <v>18866.950871479421</v>
      </c>
      <c r="I77" s="3">
        <f t="shared" ref="I77" si="32">I75*I76</f>
        <v>16918.294321536236</v>
      </c>
      <c r="J77" s="3">
        <f t="shared" ref="J77" si="33">J75*J76</f>
        <v>14750.868176494168</v>
      </c>
      <c r="K77" s="3">
        <f t="shared" ref="K77" si="34">K75*K76</f>
        <v>12347.889592464471</v>
      </c>
      <c r="L77" s="3">
        <f t="shared" ref="L77" si="35">L75*L76</f>
        <v>9691.4207307944471</v>
      </c>
      <c r="M77" s="3">
        <f t="shared" ref="M77" si="36">M75*M76</f>
        <v>6762.2925744972672</v>
      </c>
      <c r="N77" s="3">
        <f t="shared" ref="N77" si="37">N75*N76</f>
        <v>3540.0238113995829</v>
      </c>
      <c r="O77" s="3">
        <f t="shared" ref="O77" si="38">O75*O76</f>
        <v>2.7344672127645757</v>
      </c>
      <c r="P77" s="3">
        <f t="shared" ref="P77" si="39">P75*P76</f>
        <v>2.9388686369187278</v>
      </c>
      <c r="Q77" s="3">
        <f t="shared" ref="Q77" si="40">Q75*Q76</f>
        <v>3.1585490675284027</v>
      </c>
      <c r="R77" s="3">
        <f t="shared" ref="R77" si="41">R75*R76</f>
        <v>3.3946506103261509</v>
      </c>
      <c r="S77" s="3">
        <f t="shared" ref="S77" si="42">S75*S76</f>
        <v>3.6484007434480303</v>
      </c>
      <c r="T77" s="3">
        <f t="shared" ref="T77" si="43">T75*T76</f>
        <v>3.9211186990207709</v>
      </c>
    </row>
    <row r="78" spans="2:22" x14ac:dyDescent="0.25">
      <c r="B78" t="s">
        <v>4</v>
      </c>
      <c r="D78" s="9">
        <f>C60</f>
        <v>0.15</v>
      </c>
      <c r="E78" s="4">
        <f>D78</f>
        <v>0.15</v>
      </c>
      <c r="F78" s="4">
        <f t="shared" ref="F78:M78" si="44">E78</f>
        <v>0.15</v>
      </c>
      <c r="G78" s="4">
        <f t="shared" si="44"/>
        <v>0.15</v>
      </c>
      <c r="H78" s="4">
        <f t="shared" si="44"/>
        <v>0.15</v>
      </c>
      <c r="I78" s="4">
        <f t="shared" si="44"/>
        <v>0.15</v>
      </c>
      <c r="J78" s="4">
        <f t="shared" si="44"/>
        <v>0.15</v>
      </c>
      <c r="K78" s="4">
        <f t="shared" si="44"/>
        <v>0.15</v>
      </c>
      <c r="L78" s="4">
        <f t="shared" si="44"/>
        <v>0.15</v>
      </c>
      <c r="M78" s="4">
        <f t="shared" si="44"/>
        <v>0.15</v>
      </c>
      <c r="N78" s="4">
        <f t="shared" ref="N78:T78" si="45">M78</f>
        <v>0.15</v>
      </c>
      <c r="O78" s="4">
        <f t="shared" si="45"/>
        <v>0.15</v>
      </c>
      <c r="P78" s="4">
        <f t="shared" si="45"/>
        <v>0.15</v>
      </c>
      <c r="Q78" s="4">
        <f t="shared" si="45"/>
        <v>0.15</v>
      </c>
      <c r="R78" s="4">
        <f t="shared" si="45"/>
        <v>0.15</v>
      </c>
      <c r="S78" s="4">
        <f t="shared" si="45"/>
        <v>0.15</v>
      </c>
      <c r="T78" s="4">
        <f t="shared" si="45"/>
        <v>0.15</v>
      </c>
    </row>
    <row r="79" spans="2:22" x14ac:dyDescent="0.25">
      <c r="B79" t="s">
        <v>5</v>
      </c>
      <c r="D79" s="10">
        <f>IF((D77*D78)&lt;0,0,(D77*D78))</f>
        <v>3715.9500000000003</v>
      </c>
      <c r="E79" s="10">
        <f t="shared" ref="E79" si="46">IF((E77*E78)&lt;0,0,(E77*E78))</f>
        <v>3532.8418125000003</v>
      </c>
      <c r="F79" s="10">
        <f t="shared" ref="F79" si="47">IF((F77*F78)&lt;0,0,(F77*F78))</f>
        <v>3325.4604780468749</v>
      </c>
      <c r="G79" s="10">
        <f t="shared" ref="G79" si="48">IF((G77*G78)&lt;0,0,(G77*G78))</f>
        <v>3091.8805835223629</v>
      </c>
      <c r="H79" s="10">
        <f t="shared" ref="H79" si="49">IF((H77*H78)&lt;0,0,(H77*H78))</f>
        <v>2830.0426307219132</v>
      </c>
      <c r="I79" s="10">
        <f t="shared" ref="I79" si="50">IF((I77*I78)&lt;0,0,(I77*I78))</f>
        <v>2537.7441482304353</v>
      </c>
      <c r="J79" s="10">
        <f t="shared" ref="J79" si="51">IF((J77*J78)&lt;0,0,(J77*J78))</f>
        <v>2212.6302264741253</v>
      </c>
      <c r="K79" s="10">
        <f t="shared" ref="K79" si="52">IF((K77*K78)&lt;0,0,(K77*K78))</f>
        <v>1852.1834388696707</v>
      </c>
      <c r="L79" s="10">
        <f t="shared" ref="L79" si="53">IF((L77*L78)&lt;0,0,(L77*L78))</f>
        <v>1453.713109619167</v>
      </c>
      <c r="M79" s="10">
        <f t="shared" ref="M79" si="54">IF((M77*M78)&lt;0,0,(M77*M78))</f>
        <v>1014.34388617459</v>
      </c>
      <c r="N79" s="10">
        <f t="shared" ref="N79" si="55">IF((N77*N78)&lt;0,0,(N77*N78))</f>
        <v>531.00357170993743</v>
      </c>
      <c r="O79" s="10">
        <f t="shared" ref="O79" si="56">IF((O77*O78)&lt;0,0,(O77*O78))</f>
        <v>0.41017008191468635</v>
      </c>
      <c r="P79" s="10">
        <f t="shared" ref="P79" si="57">IF((P77*P78)&lt;0,0,(P77*P78))</f>
        <v>0.44083029553780917</v>
      </c>
      <c r="Q79" s="10">
        <f t="shared" ref="Q79" si="58">IF((Q77*Q78)&lt;0,0,(Q77*Q78))</f>
        <v>0.47378236012926039</v>
      </c>
      <c r="R79" s="10">
        <f t="shared" ref="R79" si="59">IF((R77*R78)&lt;0,0,(R77*R78))</f>
        <v>0.50919759154892263</v>
      </c>
      <c r="S79" s="10">
        <f t="shared" ref="S79" si="60">IF((S77*S78)&lt;0,0,(S77*S78))</f>
        <v>0.54726011151720455</v>
      </c>
      <c r="T79" s="10">
        <f t="shared" ref="T79" si="61">IF((T77*T78)&lt;0,0,(T77*T78))</f>
        <v>0.58816780485311559</v>
      </c>
      <c r="V79" s="3">
        <f>SUM(D79:N79)</f>
        <v>26097.793885869072</v>
      </c>
    </row>
    <row r="80" spans="2:22" x14ac:dyDescent="0.25">
      <c r="B80" t="s">
        <v>6</v>
      </c>
      <c r="D80" s="10">
        <f>IF((D77-D79)&lt;0,0,(D77-D79))</f>
        <v>21057.050000000003</v>
      </c>
      <c r="E80" s="10">
        <f t="shared" ref="E80" si="62">IF((E77-E79)&lt;0,0,(E77-E79))</f>
        <v>20019.436937500002</v>
      </c>
      <c r="F80" s="10">
        <f t="shared" ref="F80" si="63">IF((F77-F79)&lt;0,0,(F77-F79))</f>
        <v>18844.276042265625</v>
      </c>
      <c r="G80" s="10">
        <f t="shared" ref="G80" si="64">IF((G77-G79)&lt;0,0,(G77-G79))</f>
        <v>17520.656639960056</v>
      </c>
      <c r="H80" s="10">
        <f t="shared" ref="H80" si="65">IF((H77-H79)&lt;0,0,(H77-H79))</f>
        <v>16036.908240757508</v>
      </c>
      <c r="I80" s="10">
        <f t="shared" ref="I80" si="66">IF((I77-I79)&lt;0,0,(I77-I79))</f>
        <v>14380.550173305801</v>
      </c>
      <c r="J80" s="10">
        <f t="shared" ref="J80" si="67">IF((J77-J79)&lt;0,0,(J77-J79))</f>
        <v>12538.237950020044</v>
      </c>
      <c r="K80" s="10">
        <f t="shared" ref="K80" si="68">IF((K77-K79)&lt;0,0,(K77-K79))</f>
        <v>10495.706153594801</v>
      </c>
      <c r="L80" s="10">
        <f t="shared" ref="L80" si="69">IF((L77-L79)&lt;0,0,(L77-L79))</f>
        <v>8237.7076211752792</v>
      </c>
      <c r="M80" s="10">
        <f t="shared" ref="M80" si="70">IF((M77-M79)&lt;0,0,(M77-M79))</f>
        <v>5747.9486883226773</v>
      </c>
      <c r="N80" s="10">
        <f t="shared" ref="N80" si="71">IF((N77-N79)&lt;0,0,(N77-N79))</f>
        <v>3009.0202396896457</v>
      </c>
      <c r="O80" s="10">
        <f t="shared" ref="O80" si="72">IF((O77-O79)&lt;0,0,(O77-O79))</f>
        <v>2.3242971308498892</v>
      </c>
      <c r="P80" s="10">
        <f t="shared" ref="P80" si="73">IF((P77-P79)&lt;0,0,(P77-P79))</f>
        <v>2.4980383413809184</v>
      </c>
      <c r="Q80" s="10">
        <f t="shared" ref="Q80" si="74">IF((Q77-Q79)&lt;0,0,(Q77-Q79))</f>
        <v>2.6847667073991421</v>
      </c>
      <c r="R80" s="10">
        <f t="shared" ref="R80" si="75">IF((R77-R79)&lt;0,0,(R77-R79))</f>
        <v>2.8854530187772283</v>
      </c>
      <c r="S80" s="10">
        <f t="shared" ref="S80" si="76">IF((S77-S79)&lt;0,0,(S77-S79))</f>
        <v>3.1011406319308259</v>
      </c>
      <c r="T80" s="10">
        <f t="shared" ref="T80" si="77">IF((T77-T79)&lt;0,0,(T77-T79))</f>
        <v>3.3329508941676553</v>
      </c>
      <c r="V80" s="3">
        <f>SUM(D80:N80)</f>
        <v>147887.49868659145</v>
      </c>
    </row>
    <row r="81" spans="2:23" x14ac:dyDescent="0.25">
      <c r="D81" s="11"/>
      <c r="V81" s="3"/>
    </row>
    <row r="82" spans="2:23" x14ac:dyDescent="0.25">
      <c r="B82" t="s">
        <v>7</v>
      </c>
      <c r="D82" s="9">
        <f>C67</f>
        <v>4.4999999999999998E-2</v>
      </c>
      <c r="E82" s="1">
        <f>D82</f>
        <v>4.4999999999999998E-2</v>
      </c>
      <c r="F82" s="1">
        <f t="shared" ref="F82:M82" si="78">E82</f>
        <v>4.4999999999999998E-2</v>
      </c>
      <c r="G82" s="1">
        <f t="shared" si="78"/>
        <v>4.4999999999999998E-2</v>
      </c>
      <c r="H82" s="1">
        <f t="shared" si="78"/>
        <v>4.4999999999999998E-2</v>
      </c>
      <c r="I82" s="1">
        <f t="shared" si="78"/>
        <v>4.4999999999999998E-2</v>
      </c>
      <c r="J82" s="1">
        <f t="shared" si="78"/>
        <v>4.4999999999999998E-2</v>
      </c>
      <c r="K82" s="1">
        <f t="shared" si="78"/>
        <v>4.4999999999999998E-2</v>
      </c>
      <c r="L82" s="1">
        <f t="shared" si="78"/>
        <v>4.4999999999999998E-2</v>
      </c>
      <c r="M82" s="1">
        <f t="shared" si="78"/>
        <v>4.4999999999999998E-2</v>
      </c>
      <c r="N82" s="1">
        <f t="shared" ref="N82:T82" si="79">M82</f>
        <v>4.4999999999999998E-2</v>
      </c>
      <c r="O82" s="1">
        <f t="shared" si="79"/>
        <v>4.4999999999999998E-2</v>
      </c>
      <c r="P82" s="1">
        <f t="shared" si="79"/>
        <v>4.4999999999999998E-2</v>
      </c>
      <c r="Q82" s="1">
        <f t="shared" si="79"/>
        <v>4.4999999999999998E-2</v>
      </c>
      <c r="R82" s="1">
        <f t="shared" si="79"/>
        <v>4.4999999999999998E-2</v>
      </c>
      <c r="S82" s="1">
        <f t="shared" si="79"/>
        <v>4.4999999999999998E-2</v>
      </c>
      <c r="T82" s="1">
        <f t="shared" si="79"/>
        <v>4.4999999999999998E-2</v>
      </c>
    </row>
    <row r="83" spans="2:23" x14ac:dyDescent="0.25">
      <c r="B83" t="s">
        <v>8</v>
      </c>
      <c r="D83" s="10">
        <f>IF((D82*D75)&lt;0,0,(D82*D75))</f>
        <v>31851</v>
      </c>
      <c r="E83" s="10">
        <f t="shared" ref="E83" si="80">IF((E82*E75)&lt;0,0,(E82*E75))</f>
        <v>30281.501249999998</v>
      </c>
      <c r="F83" s="10">
        <f t="shared" ref="F83" si="81">IF((F82*F75)&lt;0,0,(F82*F75))</f>
        <v>28503.946954687501</v>
      </c>
      <c r="G83" s="10">
        <f t="shared" ref="G83" si="82">IF((G82*G75)&lt;0,0,(G82*G75))</f>
        <v>26501.833573048822</v>
      </c>
      <c r="H83" s="10">
        <f t="shared" ref="H83" si="83">IF((H82*H75)&lt;0,0,(H82*H75))</f>
        <v>24257.508263330681</v>
      </c>
      <c r="I83" s="10">
        <f t="shared" ref="I83" si="84">IF((I82*I75)&lt;0,0,(I82*I75))</f>
        <v>21752.092699118013</v>
      </c>
      <c r="J83" s="10">
        <f t="shared" ref="J83" si="85">IF((J82*J75)&lt;0,0,(J82*J75))</f>
        <v>18965.401941206786</v>
      </c>
      <c r="K83" s="10">
        <f t="shared" ref="K83" si="86">IF((K82*K75)&lt;0,0,(K82*K75))</f>
        <v>15875.858047454318</v>
      </c>
      <c r="L83" s="10">
        <f t="shared" ref="L83" si="87">IF((L82*L75)&lt;0,0,(L82*L75))</f>
        <v>12460.398082450001</v>
      </c>
      <c r="M83" s="10">
        <f t="shared" ref="M83" si="88">IF((M82*M75)&lt;0,0,(M82*M75))</f>
        <v>8694.3761672107703</v>
      </c>
      <c r="N83" s="10">
        <f t="shared" ref="N83" si="89">IF((N82*N75)&lt;0,0,(N82*N75))</f>
        <v>4551.459186085177</v>
      </c>
      <c r="O83" s="10">
        <f t="shared" ref="O83" si="90">IF((O82*O75)&lt;0,0,(O82*O75))</f>
        <v>3.5157435592687398</v>
      </c>
      <c r="P83" s="10">
        <f t="shared" ref="P83" si="91">IF((P82*P75)&lt;0,0,(P82*P75))</f>
        <v>3.7785453903240778</v>
      </c>
      <c r="Q83" s="10">
        <f t="shared" ref="Q83" si="92">IF((Q82*Q75)&lt;0,0,(Q82*Q75))</f>
        <v>4.0609916582508028</v>
      </c>
      <c r="R83" s="10">
        <f t="shared" ref="R83" si="93">IF((R82*R75)&lt;0,0,(R82*R75))</f>
        <v>4.3645507847050506</v>
      </c>
      <c r="S83" s="10">
        <f t="shared" ref="S83" si="94">IF((S82*S75)&lt;0,0,(S82*S75))</f>
        <v>4.6908009558617527</v>
      </c>
      <c r="T83" s="10">
        <f t="shared" ref="T83" si="95">IF((T82*T75)&lt;0,0,(T82*T75))</f>
        <v>5.0414383273124193</v>
      </c>
      <c r="V83" s="3">
        <f>SUM(D83:M83)</f>
        <v>219143.9169785069</v>
      </c>
    </row>
    <row r="84" spans="2:23" x14ac:dyDescent="0.25">
      <c r="D84" s="11"/>
    </row>
    <row r="85" spans="2:23" x14ac:dyDescent="0.25">
      <c r="B85" t="s">
        <v>9</v>
      </c>
      <c r="D85" s="10">
        <f>D75+D80+D83</f>
        <v>760708.05</v>
      </c>
      <c r="E85" s="3">
        <f t="shared" ref="E85:M85" si="96">E75+E80+E83</f>
        <v>723223.1881875</v>
      </c>
      <c r="F85" s="3">
        <f t="shared" si="96"/>
        <v>680769.26643445308</v>
      </c>
      <c r="G85" s="3">
        <f t="shared" si="96"/>
        <v>632952.12516964937</v>
      </c>
      <c r="H85" s="3">
        <f t="shared" si="96"/>
        <v>579350.15568921447</v>
      </c>
      <c r="I85" s="3">
        <f t="shared" si="96"/>
        <v>519512.48063060187</v>
      </c>
      <c r="J85" s="3">
        <f t="shared" si="96"/>
        <v>452957.01636248874</v>
      </c>
      <c r="K85" s="3">
        <f t="shared" si="96"/>
        <v>379168.40970003401</v>
      </c>
      <c r="L85" s="3">
        <f t="shared" si="96"/>
        <v>297595.84086918086</v>
      </c>
      <c r="M85" s="3">
        <f t="shared" si="96"/>
        <v>207650.68412688392</v>
      </c>
      <c r="N85" s="3">
        <f t="shared" ref="N85:T85" si="97">N75+N80+N83</f>
        <v>108704.01689433433</v>
      </c>
      <c r="O85" s="3">
        <f t="shared" si="97"/>
        <v>83.967675340535067</v>
      </c>
      <c r="P85" s="3">
        <f t="shared" si="97"/>
        <v>90.244259072240069</v>
      </c>
      <c r="Q85" s="3">
        <f t="shared" si="97"/>
        <v>96.990017437890018</v>
      </c>
      <c r="R85" s="3">
        <f t="shared" si="97"/>
        <v>104.24002124137229</v>
      </c>
      <c r="S85" s="3">
        <f t="shared" si="97"/>
        <v>112.03196282916487</v>
      </c>
      <c r="T85" s="3">
        <f t="shared" si="97"/>
        <v>120.40635205064494</v>
      </c>
    </row>
    <row r="86" spans="2:23" x14ac:dyDescent="0.25">
      <c r="D86" s="11"/>
    </row>
    <row r="87" spans="2:23" x14ac:dyDescent="0.25">
      <c r="B87" t="s">
        <v>16</v>
      </c>
      <c r="D87" s="6">
        <v>80000</v>
      </c>
      <c r="E87" s="2">
        <f>D87*(1+D88)</f>
        <v>82400</v>
      </c>
      <c r="F87" s="2">
        <f t="shared" ref="F87:M87" si="98">E87*(1+E88)</f>
        <v>84872</v>
      </c>
      <c r="G87" s="2">
        <f t="shared" si="98"/>
        <v>87418.16</v>
      </c>
      <c r="H87" s="2">
        <f t="shared" si="98"/>
        <v>90040.704800000007</v>
      </c>
      <c r="I87" s="2">
        <f t="shared" si="98"/>
        <v>92741.925944000002</v>
      </c>
      <c r="J87" s="2">
        <f t="shared" si="98"/>
        <v>95524.183722319998</v>
      </c>
      <c r="K87" s="2">
        <f t="shared" si="98"/>
        <v>98389.909233989601</v>
      </c>
      <c r="L87" s="2">
        <f t="shared" si="98"/>
        <v>101341.60651100929</v>
      </c>
      <c r="M87" s="2">
        <f t="shared" si="98"/>
        <v>104381.85470633957</v>
      </c>
      <c r="N87" s="2">
        <f t="shared" ref="N87:T87" si="99">M87*(1+M88)</f>
        <v>107513.31034752975</v>
      </c>
      <c r="O87" s="2">
        <f t="shared" si="99"/>
        <v>110738.70965795565</v>
      </c>
      <c r="P87" s="2">
        <f t="shared" si="99"/>
        <v>114060.87094769432</v>
      </c>
      <c r="Q87" s="2">
        <f t="shared" si="99"/>
        <v>117482.69707612516</v>
      </c>
      <c r="R87" s="2">
        <f t="shared" si="99"/>
        <v>121007.17798840892</v>
      </c>
      <c r="S87" s="2">
        <f t="shared" si="99"/>
        <v>124637.3933280612</v>
      </c>
      <c r="T87" s="2">
        <f t="shared" si="99"/>
        <v>128376.51512790304</v>
      </c>
    </row>
    <row r="88" spans="2:23" x14ac:dyDescent="0.25">
      <c r="B88" t="s">
        <v>11</v>
      </c>
      <c r="D88" s="9">
        <f>C62</f>
        <v>0.03</v>
      </c>
      <c r="E88" s="1">
        <f>D88</f>
        <v>0.03</v>
      </c>
      <c r="F88" s="1">
        <f t="shared" ref="F88:M88" si="100">E88</f>
        <v>0.03</v>
      </c>
      <c r="G88" s="1">
        <f t="shared" si="100"/>
        <v>0.03</v>
      </c>
      <c r="H88" s="1">
        <f t="shared" si="100"/>
        <v>0.03</v>
      </c>
      <c r="I88" s="1">
        <f t="shared" si="100"/>
        <v>0.03</v>
      </c>
      <c r="J88" s="1">
        <f t="shared" si="100"/>
        <v>0.03</v>
      </c>
      <c r="K88" s="1">
        <f t="shared" si="100"/>
        <v>0.03</v>
      </c>
      <c r="L88" s="1">
        <f t="shared" si="100"/>
        <v>0.03</v>
      </c>
      <c r="M88" s="1">
        <f t="shared" si="100"/>
        <v>0.03</v>
      </c>
      <c r="N88" s="1">
        <f t="shared" ref="N88:T88" si="101">M88</f>
        <v>0.03</v>
      </c>
      <c r="O88" s="1">
        <f t="shared" si="101"/>
        <v>0.03</v>
      </c>
      <c r="P88" s="1">
        <f t="shared" si="101"/>
        <v>0.03</v>
      </c>
      <c r="Q88" s="1">
        <f t="shared" si="101"/>
        <v>0.03</v>
      </c>
      <c r="R88" s="1">
        <f t="shared" si="101"/>
        <v>0.03</v>
      </c>
      <c r="S88" s="1">
        <f t="shared" si="101"/>
        <v>0.03</v>
      </c>
      <c r="T88" s="1">
        <f t="shared" si="101"/>
        <v>0.03</v>
      </c>
    </row>
    <row r="89" spans="2:23" x14ac:dyDescent="0.25">
      <c r="B89" s="11"/>
      <c r="C89" s="11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3" x14ac:dyDescent="0.25">
      <c r="B90" s="11" t="s">
        <v>14</v>
      </c>
      <c r="C90" s="11"/>
      <c r="D90" s="9">
        <f>C61</f>
        <v>1.0999999999999999E-2</v>
      </c>
      <c r="E90" s="1">
        <f>D90</f>
        <v>1.0999999999999999E-2</v>
      </c>
      <c r="F90" s="1">
        <f t="shared" ref="F90:M90" si="102">E90</f>
        <v>1.0999999999999999E-2</v>
      </c>
      <c r="G90" s="1">
        <f t="shared" si="102"/>
        <v>1.0999999999999999E-2</v>
      </c>
      <c r="H90" s="1">
        <f t="shared" si="102"/>
        <v>1.0999999999999999E-2</v>
      </c>
      <c r="I90" s="1">
        <f t="shared" si="102"/>
        <v>1.0999999999999999E-2</v>
      </c>
      <c r="J90" s="1">
        <f t="shared" si="102"/>
        <v>1.0999999999999999E-2</v>
      </c>
      <c r="K90" s="1">
        <f t="shared" si="102"/>
        <v>1.0999999999999999E-2</v>
      </c>
      <c r="L90" s="1">
        <f t="shared" si="102"/>
        <v>1.0999999999999999E-2</v>
      </c>
      <c r="M90" s="1">
        <f t="shared" si="102"/>
        <v>1.0999999999999999E-2</v>
      </c>
      <c r="N90" s="1">
        <f t="shared" ref="N90:T90" si="103">M90</f>
        <v>1.0999999999999999E-2</v>
      </c>
      <c r="O90" s="1">
        <f t="shared" si="103"/>
        <v>1.0999999999999999E-2</v>
      </c>
      <c r="P90" s="1">
        <f t="shared" si="103"/>
        <v>1.0999999999999999E-2</v>
      </c>
      <c r="Q90" s="1">
        <f t="shared" si="103"/>
        <v>1.0999999999999999E-2</v>
      </c>
      <c r="R90" s="1">
        <f t="shared" si="103"/>
        <v>1.0999999999999999E-2</v>
      </c>
      <c r="S90" s="1">
        <f t="shared" si="103"/>
        <v>1.0999999999999999E-2</v>
      </c>
      <c r="T90" s="1">
        <f t="shared" si="103"/>
        <v>1.0999999999999999E-2</v>
      </c>
    </row>
    <row r="91" spans="2:23" x14ac:dyDescent="0.25">
      <c r="B91" s="11" t="s">
        <v>15</v>
      </c>
      <c r="D91" s="2">
        <f>IF((D90*D75)&lt;0,0,(D90*D75))</f>
        <v>7785.7999999999993</v>
      </c>
      <c r="E91" s="2">
        <f t="shared" ref="E91" si="104">IF((E90*E75)&lt;0,0,(E90*E75))</f>
        <v>7402.1447499999995</v>
      </c>
      <c r="F91" s="2">
        <f t="shared" ref="F91" si="105">IF((F90*F75)&lt;0,0,(F90*F75))</f>
        <v>6967.6314778124997</v>
      </c>
      <c r="G91" s="2">
        <f t="shared" ref="G91" si="106">IF((G90*G75)&lt;0,0,(G90*G75))</f>
        <v>6478.2259845230456</v>
      </c>
      <c r="H91" s="2">
        <f t="shared" ref="H91" si="107">IF((H90*H75)&lt;0,0,(H90*H75))</f>
        <v>5929.6131310363889</v>
      </c>
      <c r="I91" s="2">
        <f t="shared" ref="I91" si="108">IF((I90*I75)&lt;0,0,(I90*I75))</f>
        <v>5317.1782153399581</v>
      </c>
      <c r="J91" s="2">
        <f t="shared" ref="J91" si="109">IF((J90*J75)&lt;0,0,(J90*J75))</f>
        <v>4635.9871411838803</v>
      </c>
      <c r="K91" s="2">
        <f t="shared" ref="K91" si="110">IF((K90*K75)&lt;0,0,(K90*K75))</f>
        <v>3880.765300488833</v>
      </c>
      <c r="L91" s="2">
        <f t="shared" ref="L91" si="111">IF((L90*L75)&lt;0,0,(L90*L75))</f>
        <v>3045.8750868211114</v>
      </c>
      <c r="M91" s="2">
        <f t="shared" ref="M91" si="112">IF((M90*M75)&lt;0,0,(M90*M75))</f>
        <v>2125.2919519848551</v>
      </c>
      <c r="N91" s="2">
        <f t="shared" ref="N91" si="113">IF((N90*N75)&lt;0,0,(N90*N75))</f>
        <v>1112.5789121541545</v>
      </c>
      <c r="O91" s="2">
        <f t="shared" ref="O91" si="114">IF((O90*O75)&lt;0,0,(O90*O75))</f>
        <v>0.85940398115458083</v>
      </c>
      <c r="P91" s="2">
        <f t="shared" ref="P91" si="115">IF((P90*P75)&lt;0,0,(P90*P75))</f>
        <v>0.9236444287458857</v>
      </c>
      <c r="Q91" s="2">
        <f t="shared" ref="Q91" si="116">IF((Q90*Q75)&lt;0,0,(Q90*Q75))</f>
        <v>0.99268684979464072</v>
      </c>
      <c r="R91" s="2">
        <f t="shared" ref="R91" si="117">IF((R90*R75)&lt;0,0,(R90*R75))</f>
        <v>1.0668901918167901</v>
      </c>
      <c r="S91" s="2">
        <f t="shared" ref="S91" si="118">IF((S90*S75)&lt;0,0,(S90*S75))</f>
        <v>1.1466402336550952</v>
      </c>
      <c r="T91" s="2">
        <f t="shared" ref="T91" si="119">IF((T90*T75)&lt;0,0,(T90*T75))</f>
        <v>1.2323515911208134</v>
      </c>
      <c r="V91" s="3">
        <f>SUM(D91:N91)</f>
        <v>54681.09195134473</v>
      </c>
      <c r="W91" s="4">
        <f>V91/V93</f>
        <v>5.066325529686052E-2</v>
      </c>
    </row>
    <row r="92" spans="2:23" x14ac:dyDescent="0.25">
      <c r="B92" s="11"/>
    </row>
    <row r="93" spans="2:23" x14ac:dyDescent="0.25">
      <c r="B93" t="s">
        <v>17</v>
      </c>
      <c r="D93" s="3">
        <f>IF(D69&lt;=$C$51,(D87+D91),0)</f>
        <v>87785.8</v>
      </c>
      <c r="E93" s="3">
        <f t="shared" ref="E93:T93" si="120">IF(E69&lt;=$C$51,(E87+E91),0)</f>
        <v>89802.144750000007</v>
      </c>
      <c r="F93" s="3">
        <f t="shared" si="120"/>
        <v>91839.631477812494</v>
      </c>
      <c r="G93" s="3">
        <f t="shared" si="120"/>
        <v>93896.385984523047</v>
      </c>
      <c r="H93" s="3">
        <f t="shared" si="120"/>
        <v>95970.317931036392</v>
      </c>
      <c r="I93" s="3">
        <f t="shared" si="120"/>
        <v>98059.104159339957</v>
      </c>
      <c r="J93" s="3">
        <f t="shared" si="120"/>
        <v>100160.17086350388</v>
      </c>
      <c r="K93" s="3">
        <f t="shared" si="120"/>
        <v>102270.67453447843</v>
      </c>
      <c r="L93" s="3">
        <f t="shared" si="120"/>
        <v>104387.4815978304</v>
      </c>
      <c r="M93" s="3">
        <f t="shared" si="120"/>
        <v>106507.14665832442</v>
      </c>
      <c r="N93" s="3">
        <f t="shared" si="120"/>
        <v>108625.88925968391</v>
      </c>
      <c r="O93" s="3">
        <f t="shared" si="120"/>
        <v>0</v>
      </c>
      <c r="P93" s="3">
        <f t="shared" si="120"/>
        <v>0</v>
      </c>
      <c r="Q93" s="3">
        <f t="shared" si="120"/>
        <v>0</v>
      </c>
      <c r="R93" s="3">
        <f t="shared" si="120"/>
        <v>0</v>
      </c>
      <c r="S93" s="3">
        <f t="shared" si="120"/>
        <v>0</v>
      </c>
      <c r="T93" s="3">
        <f t="shared" si="120"/>
        <v>0</v>
      </c>
      <c r="V93" s="3">
        <f>SUM(D93:N93)</f>
        <v>1079304.7472165332</v>
      </c>
    </row>
    <row r="94" spans="2:23" x14ac:dyDescent="0.25">
      <c r="B94" s="11"/>
    </row>
    <row r="95" spans="2:23" x14ac:dyDescent="0.25">
      <c r="B95" t="s">
        <v>10</v>
      </c>
      <c r="D95" s="3">
        <f>D85-D87</f>
        <v>680708.05</v>
      </c>
      <c r="E95" s="3">
        <f>E85-E87</f>
        <v>640823.1881875</v>
      </c>
      <c r="F95" s="3">
        <f>F85-F87</f>
        <v>595897.26643445308</v>
      </c>
      <c r="G95" s="3">
        <f>G85-G87</f>
        <v>545533.96516964934</v>
      </c>
      <c r="H95" s="3">
        <f>H85-H87</f>
        <v>489309.45088921447</v>
      </c>
      <c r="I95" s="3">
        <f>I85-I87</f>
        <v>426770.55468660186</v>
      </c>
      <c r="J95" s="3">
        <f>J85-J87</f>
        <v>357432.83264016872</v>
      </c>
      <c r="K95" s="3">
        <f>K85-K87</f>
        <v>280778.50046604441</v>
      </c>
      <c r="L95" s="3">
        <f>L85-L87</f>
        <v>196254.23435817158</v>
      </c>
      <c r="M95" s="3">
        <f>M85-M87</f>
        <v>103268.82942054435</v>
      </c>
      <c r="N95" s="3">
        <f t="shared" ref="N95:T95" si="121">N85-N87</f>
        <v>1190.7065468045766</v>
      </c>
      <c r="O95" s="3">
        <f t="shared" si="121"/>
        <v>-110654.74198261512</v>
      </c>
      <c r="P95" s="3">
        <f t="shared" si="121"/>
        <v>-113970.62668862208</v>
      </c>
      <c r="Q95" s="3">
        <f t="shared" si="121"/>
        <v>-117385.70705868727</v>
      </c>
      <c r="R95" s="3">
        <f t="shared" si="121"/>
        <v>-120902.93796716754</v>
      </c>
      <c r="S95" s="3">
        <f t="shared" si="121"/>
        <v>-124525.36136523203</v>
      </c>
      <c r="T95" s="3">
        <f t="shared" si="121"/>
        <v>-128256.10877585239</v>
      </c>
    </row>
    <row r="97" spans="2:5" x14ac:dyDescent="0.25">
      <c r="B97" t="s">
        <v>37</v>
      </c>
      <c r="D97">
        <f>D69</f>
        <v>2032</v>
      </c>
    </row>
    <row r="98" spans="2:5" x14ac:dyDescent="0.25">
      <c r="B98" t="s">
        <v>38</v>
      </c>
      <c r="D98" s="8">
        <f>D75</f>
        <v>707800</v>
      </c>
      <c r="E98" t="s">
        <v>39</v>
      </c>
    </row>
    <row r="99" spans="2:5" x14ac:dyDescent="0.25">
      <c r="B99" t="s">
        <v>40</v>
      </c>
    </row>
    <row r="100" spans="2:5" x14ac:dyDescent="0.25">
      <c r="B100" t="s">
        <v>23</v>
      </c>
      <c r="C100" s="11"/>
      <c r="D100" s="7" t="s">
        <v>33</v>
      </c>
      <c r="E100" t="s">
        <v>34</v>
      </c>
    </row>
    <row r="101" spans="2:5" x14ac:dyDescent="0.25">
      <c r="B101" t="s">
        <v>25</v>
      </c>
      <c r="C101" s="11"/>
      <c r="D101" s="11"/>
    </row>
    <row r="102" spans="2:5" x14ac:dyDescent="0.25">
      <c r="B102" t="s">
        <v>2</v>
      </c>
      <c r="C102" s="9"/>
      <c r="D102" s="5">
        <v>3.5000000000000003E-2</v>
      </c>
    </row>
    <row r="103" spans="2:5" x14ac:dyDescent="0.25">
      <c r="B103" t="s">
        <v>7</v>
      </c>
      <c r="C103" s="9"/>
      <c r="D103" s="5">
        <v>4.4999999999999998E-2</v>
      </c>
    </row>
    <row r="105" spans="2:5" x14ac:dyDescent="0.25">
      <c r="B105" s="7" t="s">
        <v>41</v>
      </c>
    </row>
    <row r="106" spans="2:5" s="11" customFormat="1" x14ac:dyDescent="0.25">
      <c r="B106" s="11" t="s">
        <v>35</v>
      </c>
      <c r="C106" s="11">
        <v>2026</v>
      </c>
    </row>
    <row r="107" spans="2:5" x14ac:dyDescent="0.25">
      <c r="B107" t="s">
        <v>12</v>
      </c>
      <c r="C107" s="7">
        <v>1</v>
      </c>
    </row>
    <row r="108" spans="2:5" x14ac:dyDescent="0.25">
      <c r="B108" t="s">
        <v>27</v>
      </c>
      <c r="C108" s="7">
        <v>5</v>
      </c>
    </row>
    <row r="109" spans="2:5" x14ac:dyDescent="0.25">
      <c r="B109" t="s">
        <v>13</v>
      </c>
      <c r="C109" s="11">
        <f>C106+C108</f>
        <v>2031</v>
      </c>
    </row>
    <row r="110" spans="2:5" x14ac:dyDescent="0.25">
      <c r="B110" t="s">
        <v>19</v>
      </c>
      <c r="C110" s="6">
        <v>65</v>
      </c>
    </row>
    <row r="111" spans="2:5" x14ac:dyDescent="0.25">
      <c r="B111" t="s">
        <v>20</v>
      </c>
      <c r="C111" s="6">
        <v>62</v>
      </c>
    </row>
    <row r="112" spans="2:5" x14ac:dyDescent="0.25">
      <c r="B112" t="s">
        <v>4</v>
      </c>
      <c r="C112" s="5">
        <v>0</v>
      </c>
    </row>
    <row r="113" spans="2:13" x14ac:dyDescent="0.25">
      <c r="B113" t="s">
        <v>18</v>
      </c>
      <c r="C113" s="5">
        <v>1.0999999999999999E-2</v>
      </c>
    </row>
    <row r="114" spans="2:13" x14ac:dyDescent="0.25">
      <c r="B114" t="s">
        <v>21</v>
      </c>
      <c r="C114" s="5">
        <v>0.03</v>
      </c>
    </row>
    <row r="115" spans="2:13" x14ac:dyDescent="0.25">
      <c r="C115" s="11"/>
    </row>
    <row r="116" spans="2:13" x14ac:dyDescent="0.25">
      <c r="B116" t="s">
        <v>23</v>
      </c>
      <c r="C116" s="7" t="str">
        <f>C64</f>
        <v>Balanced</v>
      </c>
      <c r="D116" t="s">
        <v>34</v>
      </c>
    </row>
    <row r="117" spans="2:13" x14ac:dyDescent="0.25">
      <c r="B117" t="s">
        <v>25</v>
      </c>
      <c r="C117" s="11"/>
    </row>
    <row r="118" spans="2:13" x14ac:dyDescent="0.25">
      <c r="B118" t="s">
        <v>2</v>
      </c>
      <c r="C118" s="5">
        <f>C66</f>
        <v>3.5000000000000003E-2</v>
      </c>
    </row>
    <row r="119" spans="2:13" x14ac:dyDescent="0.25">
      <c r="B119" t="s">
        <v>7</v>
      </c>
      <c r="C119" s="5">
        <f>C67</f>
        <v>4.4999999999999998E-2</v>
      </c>
    </row>
    <row r="121" spans="2:13" x14ac:dyDescent="0.25">
      <c r="B121" s="11" t="s">
        <v>28</v>
      </c>
      <c r="D121" s="11">
        <f>C106</f>
        <v>2026</v>
      </c>
      <c r="E121">
        <f>D121+1</f>
        <v>2027</v>
      </c>
      <c r="F121">
        <f t="shared" ref="F121:M121" si="122">E121+1</f>
        <v>2028</v>
      </c>
      <c r="G121">
        <f t="shared" si="122"/>
        <v>2029</v>
      </c>
      <c r="H121">
        <f t="shared" si="122"/>
        <v>2030</v>
      </c>
      <c r="I121">
        <f t="shared" si="122"/>
        <v>2031</v>
      </c>
      <c r="J121">
        <f t="shared" si="122"/>
        <v>2032</v>
      </c>
      <c r="K121">
        <f t="shared" si="122"/>
        <v>2033</v>
      </c>
      <c r="L121">
        <f t="shared" si="122"/>
        <v>2034</v>
      </c>
      <c r="M121">
        <f t="shared" si="122"/>
        <v>2035</v>
      </c>
    </row>
    <row r="122" spans="2:13" x14ac:dyDescent="0.25">
      <c r="B122" t="s">
        <v>3</v>
      </c>
      <c r="D122">
        <v>0</v>
      </c>
      <c r="E122">
        <f>D122+1</f>
        <v>1</v>
      </c>
      <c r="F122">
        <f t="shared" ref="F122:M122" si="123">E122+1</f>
        <v>2</v>
      </c>
      <c r="G122">
        <f t="shared" si="123"/>
        <v>3</v>
      </c>
      <c r="H122">
        <f t="shared" si="123"/>
        <v>4</v>
      </c>
      <c r="I122">
        <f t="shared" si="123"/>
        <v>5</v>
      </c>
      <c r="J122">
        <f t="shared" si="123"/>
        <v>6</v>
      </c>
      <c r="K122">
        <f t="shared" si="123"/>
        <v>7</v>
      </c>
      <c r="L122">
        <f t="shared" si="123"/>
        <v>8</v>
      </c>
      <c r="M122" s="7">
        <f t="shared" si="123"/>
        <v>9</v>
      </c>
    </row>
    <row r="123" spans="2:13" x14ac:dyDescent="0.25">
      <c r="B123" t="s">
        <v>19</v>
      </c>
      <c r="D123" s="3">
        <f>C110</f>
        <v>65</v>
      </c>
      <c r="E123" s="3">
        <f>D123+1</f>
        <v>66</v>
      </c>
      <c r="F123" s="3">
        <f t="shared" ref="F123:M123" si="124">E123+1</f>
        <v>67</v>
      </c>
      <c r="G123" s="3">
        <f t="shared" si="124"/>
        <v>68</v>
      </c>
      <c r="H123" s="3">
        <f t="shared" si="124"/>
        <v>69</v>
      </c>
      <c r="I123" s="3">
        <f t="shared" si="124"/>
        <v>70</v>
      </c>
      <c r="J123" s="3">
        <f t="shared" si="124"/>
        <v>71</v>
      </c>
      <c r="K123" s="3">
        <f t="shared" si="124"/>
        <v>72</v>
      </c>
      <c r="L123" s="3">
        <f t="shared" si="124"/>
        <v>73</v>
      </c>
      <c r="M123" s="3">
        <f t="shared" si="124"/>
        <v>74</v>
      </c>
    </row>
    <row r="124" spans="2:13" x14ac:dyDescent="0.25">
      <c r="B124" t="s">
        <v>20</v>
      </c>
      <c r="D124" s="3">
        <f>C111</f>
        <v>62</v>
      </c>
      <c r="E124" s="3">
        <f>D124+1</f>
        <v>63</v>
      </c>
      <c r="F124" s="3">
        <f t="shared" ref="F124:M124" si="125">E124+1</f>
        <v>64</v>
      </c>
      <c r="G124" s="3">
        <f t="shared" si="125"/>
        <v>65</v>
      </c>
      <c r="H124" s="3">
        <f t="shared" si="125"/>
        <v>66</v>
      </c>
      <c r="I124" s="3">
        <f t="shared" si="125"/>
        <v>67</v>
      </c>
      <c r="J124" s="3">
        <f t="shared" si="125"/>
        <v>68</v>
      </c>
      <c r="K124" s="3">
        <f t="shared" si="125"/>
        <v>69</v>
      </c>
      <c r="L124" s="3">
        <f t="shared" si="125"/>
        <v>70</v>
      </c>
      <c r="M124" s="3">
        <f t="shared" si="125"/>
        <v>71</v>
      </c>
    </row>
    <row r="125" spans="2:13" x14ac:dyDescent="0.25">
      <c r="M125" s="7"/>
    </row>
    <row r="127" spans="2:13" x14ac:dyDescent="0.25">
      <c r="B127" t="s">
        <v>0</v>
      </c>
      <c r="D127" s="13">
        <v>475000</v>
      </c>
      <c r="E127" s="8">
        <f>D137-D145</f>
        <v>507775</v>
      </c>
      <c r="F127" s="8">
        <f t="shared" ref="F127:M127" si="126">E137-E145</f>
        <v>542811.47499999998</v>
      </c>
      <c r="G127" s="8">
        <f t="shared" si="126"/>
        <v>580265.4667750001</v>
      </c>
      <c r="H127" s="8">
        <f t="shared" si="126"/>
        <v>620303.78398247506</v>
      </c>
      <c r="I127" s="8">
        <f t="shared" si="126"/>
        <v>663104.74507726589</v>
      </c>
      <c r="J127" s="8">
        <f t="shared" si="126"/>
        <v>708858.97248759726</v>
      </c>
      <c r="K127" s="8">
        <f t="shared" si="126"/>
        <v>765567.69028660504</v>
      </c>
      <c r="L127" s="8">
        <f t="shared" si="126"/>
        <v>826813.10550953343</v>
      </c>
      <c r="M127" s="8">
        <f t="shared" si="126"/>
        <v>892958.15395029611</v>
      </c>
    </row>
    <row r="128" spans="2:13" x14ac:dyDescent="0.25">
      <c r="B128" t="s">
        <v>2</v>
      </c>
      <c r="D128" s="9">
        <f>C118</f>
        <v>3.5000000000000003E-2</v>
      </c>
      <c r="E128" s="1">
        <f>D128</f>
        <v>3.5000000000000003E-2</v>
      </c>
      <c r="F128" s="1">
        <f t="shared" ref="F128:M128" si="127">E128</f>
        <v>3.5000000000000003E-2</v>
      </c>
      <c r="G128" s="1">
        <f t="shared" si="127"/>
        <v>3.5000000000000003E-2</v>
      </c>
      <c r="H128" s="1">
        <f t="shared" si="127"/>
        <v>3.5000000000000003E-2</v>
      </c>
      <c r="I128" s="1">
        <f t="shared" si="127"/>
        <v>3.5000000000000003E-2</v>
      </c>
      <c r="J128" s="1">
        <f t="shared" si="127"/>
        <v>3.5000000000000003E-2</v>
      </c>
      <c r="K128" s="1">
        <f t="shared" si="127"/>
        <v>3.5000000000000003E-2</v>
      </c>
      <c r="L128" s="1">
        <f t="shared" si="127"/>
        <v>3.5000000000000003E-2</v>
      </c>
      <c r="M128" s="1">
        <f t="shared" si="127"/>
        <v>3.5000000000000003E-2</v>
      </c>
    </row>
    <row r="129" spans="2:23" x14ac:dyDescent="0.25">
      <c r="B129" t="s">
        <v>1</v>
      </c>
      <c r="D129" s="10">
        <f>D127*D128</f>
        <v>16625</v>
      </c>
      <c r="E129" s="3">
        <f t="shared" ref="E129" si="128">E127*E128</f>
        <v>17772.125</v>
      </c>
      <c r="F129" s="3">
        <f t="shared" ref="F129" si="129">F127*F128</f>
        <v>18998.401625000002</v>
      </c>
      <c r="G129" s="3">
        <f t="shared" ref="G129" si="130">G127*G128</f>
        <v>20309.291337125007</v>
      </c>
      <c r="H129" s="3">
        <f t="shared" ref="H129" si="131">H127*H128</f>
        <v>21710.632439386631</v>
      </c>
      <c r="I129" s="3">
        <f t="shared" ref="I129" si="132">I127*I128</f>
        <v>23208.666077704307</v>
      </c>
      <c r="J129" s="3">
        <f t="shared" ref="J129" si="133">J127*J128</f>
        <v>24810.064037065906</v>
      </c>
      <c r="K129" s="3">
        <f t="shared" ref="K129" si="134">K127*K128</f>
        <v>26794.869160031179</v>
      </c>
      <c r="L129" s="3">
        <f t="shared" ref="L129" si="135">L127*L128</f>
        <v>28938.458692833672</v>
      </c>
      <c r="M129" s="3">
        <f t="shared" ref="M129" si="136">M127*M128</f>
        <v>31253.535388260367</v>
      </c>
    </row>
    <row r="130" spans="2:23" x14ac:dyDescent="0.25">
      <c r="B130" t="s">
        <v>4</v>
      </c>
      <c r="D130" s="9">
        <f>C112</f>
        <v>0</v>
      </c>
      <c r="E130" s="4">
        <f>D130</f>
        <v>0</v>
      </c>
      <c r="F130" s="4">
        <f t="shared" ref="F130:M130" si="137">E130</f>
        <v>0</v>
      </c>
      <c r="G130" s="4">
        <f t="shared" si="137"/>
        <v>0</v>
      </c>
      <c r="H130" s="4">
        <f t="shared" si="137"/>
        <v>0</v>
      </c>
      <c r="I130" s="4">
        <f t="shared" si="137"/>
        <v>0</v>
      </c>
      <c r="J130" s="4">
        <f t="shared" si="137"/>
        <v>0</v>
      </c>
      <c r="K130" s="4">
        <f t="shared" si="137"/>
        <v>0</v>
      </c>
      <c r="L130" s="4">
        <f t="shared" si="137"/>
        <v>0</v>
      </c>
      <c r="M130" s="4">
        <f t="shared" si="137"/>
        <v>0</v>
      </c>
    </row>
    <row r="131" spans="2:23" x14ac:dyDescent="0.25">
      <c r="B131" t="s">
        <v>5</v>
      </c>
      <c r="D131" s="10">
        <f>IF((D129*D130)&lt;0,0,(D129*D130))</f>
        <v>0</v>
      </c>
      <c r="E131" s="10">
        <f t="shared" ref="E131" si="138">IF((E129*E130)&lt;0,0,(E129*E130))</f>
        <v>0</v>
      </c>
      <c r="F131" s="10">
        <f t="shared" ref="F131" si="139">IF((F129*F130)&lt;0,0,(F129*F130))</f>
        <v>0</v>
      </c>
      <c r="G131" s="10">
        <f t="shared" ref="G131" si="140">IF((G129*G130)&lt;0,0,(G129*G130))</f>
        <v>0</v>
      </c>
      <c r="H131" s="10">
        <f t="shared" ref="H131" si="141">IF((H129*H130)&lt;0,0,(H129*H130))</f>
        <v>0</v>
      </c>
      <c r="I131" s="10">
        <f t="shared" ref="I131" si="142">IF((I129*I130)&lt;0,0,(I129*I130))</f>
        <v>0</v>
      </c>
      <c r="J131" s="10">
        <f t="shared" ref="J131" si="143">IF((J129*J130)&lt;0,0,(J129*J130))</f>
        <v>0</v>
      </c>
      <c r="K131" s="10">
        <f t="shared" ref="K131" si="144">IF((K129*K130)&lt;0,0,(K129*K130))</f>
        <v>0</v>
      </c>
      <c r="L131" s="10">
        <f t="shared" ref="L131" si="145">IF((L129*L130)&lt;0,0,(L129*L130))</f>
        <v>0</v>
      </c>
      <c r="M131" s="10">
        <f t="shared" ref="M131" si="146">IF((M129*M130)&lt;0,0,(M129*M130))</f>
        <v>0</v>
      </c>
      <c r="V131" s="3">
        <f>SUM(D131:N131)</f>
        <v>0</v>
      </c>
    </row>
    <row r="132" spans="2:23" x14ac:dyDescent="0.25">
      <c r="B132" t="s">
        <v>6</v>
      </c>
      <c r="D132" s="10">
        <f>IF((D129-D131)&lt;0,0,(D129-D131))</f>
        <v>16625</v>
      </c>
      <c r="E132" s="10">
        <f t="shared" ref="E132" si="147">IF((E129-E131)&lt;0,0,(E129-E131))</f>
        <v>17772.125</v>
      </c>
      <c r="F132" s="10">
        <f t="shared" ref="F132" si="148">IF((F129-F131)&lt;0,0,(F129-F131))</f>
        <v>18998.401625000002</v>
      </c>
      <c r="G132" s="10">
        <f t="shared" ref="G132" si="149">IF((G129-G131)&lt;0,0,(G129-G131))</f>
        <v>20309.291337125007</v>
      </c>
      <c r="H132" s="10">
        <f t="shared" ref="H132" si="150">IF((H129-H131)&lt;0,0,(H129-H131))</f>
        <v>21710.632439386631</v>
      </c>
      <c r="I132" s="10">
        <f t="shared" ref="I132" si="151">IF((I129-I131)&lt;0,0,(I129-I131))</f>
        <v>23208.666077704307</v>
      </c>
      <c r="J132" s="10">
        <f t="shared" ref="J132" si="152">IF((J129-J131)&lt;0,0,(J129-J131))</f>
        <v>24810.064037065906</v>
      </c>
      <c r="K132" s="10">
        <f t="shared" ref="K132" si="153">IF((K129-K131)&lt;0,0,(K129-K131))</f>
        <v>26794.869160031179</v>
      </c>
      <c r="L132" s="10">
        <f t="shared" ref="L132" si="154">IF((L129-L131)&lt;0,0,(L129-L131))</f>
        <v>28938.458692833672</v>
      </c>
      <c r="M132" s="10">
        <f t="shared" ref="M132" si="155">IF((M129-M131)&lt;0,0,(M129-M131))</f>
        <v>31253.535388260367</v>
      </c>
      <c r="V132" s="3">
        <f>SUM(D132:N132)</f>
        <v>230421.04375740705</v>
      </c>
    </row>
    <row r="133" spans="2:23" x14ac:dyDescent="0.25">
      <c r="D133" s="11"/>
      <c r="V133" s="3"/>
    </row>
    <row r="134" spans="2:23" x14ac:dyDescent="0.25">
      <c r="B134" t="s">
        <v>7</v>
      </c>
      <c r="D134" s="9">
        <f>C119</f>
        <v>4.4999999999999998E-2</v>
      </c>
      <c r="E134" s="1">
        <f>D134</f>
        <v>4.4999999999999998E-2</v>
      </c>
      <c r="F134" s="1">
        <f t="shared" ref="F134:M134" si="156">E134</f>
        <v>4.4999999999999998E-2</v>
      </c>
      <c r="G134" s="1">
        <f t="shared" si="156"/>
        <v>4.4999999999999998E-2</v>
      </c>
      <c r="H134" s="1">
        <f t="shared" si="156"/>
        <v>4.4999999999999998E-2</v>
      </c>
      <c r="I134" s="1">
        <f t="shared" si="156"/>
        <v>4.4999999999999998E-2</v>
      </c>
      <c r="J134" s="1">
        <f t="shared" si="156"/>
        <v>4.4999999999999998E-2</v>
      </c>
      <c r="K134" s="1">
        <f t="shared" si="156"/>
        <v>4.4999999999999998E-2</v>
      </c>
      <c r="L134" s="1">
        <f t="shared" si="156"/>
        <v>4.4999999999999998E-2</v>
      </c>
      <c r="M134" s="1">
        <f t="shared" si="156"/>
        <v>4.4999999999999998E-2</v>
      </c>
    </row>
    <row r="135" spans="2:23" x14ac:dyDescent="0.25">
      <c r="B135" t="s">
        <v>8</v>
      </c>
      <c r="D135" s="10">
        <f>IF((D134*D127)&lt;0,0,(D134*D127))</f>
        <v>21375</v>
      </c>
      <c r="E135" s="10">
        <f t="shared" ref="E135" si="157">IF((E134*E127)&lt;0,0,(E134*E127))</f>
        <v>22849.875</v>
      </c>
      <c r="F135" s="10">
        <f t="shared" ref="F135" si="158">IF((F134*F127)&lt;0,0,(F134*F127))</f>
        <v>24426.516374999999</v>
      </c>
      <c r="G135" s="10">
        <f t="shared" ref="G135" si="159">IF((G134*G127)&lt;0,0,(G134*G127))</f>
        <v>26111.946004875004</v>
      </c>
      <c r="H135" s="10">
        <f t="shared" ref="H135" si="160">IF((H134*H127)&lt;0,0,(H134*H127))</f>
        <v>27913.670279211376</v>
      </c>
      <c r="I135" s="10">
        <f t="shared" ref="I135" si="161">IF((I134*I127)&lt;0,0,(I134*I127))</f>
        <v>29839.713528476965</v>
      </c>
      <c r="J135" s="10">
        <f t="shared" ref="J135" si="162">IF((J134*J127)&lt;0,0,(J134*J127))</f>
        <v>31898.653761941874</v>
      </c>
      <c r="K135" s="10">
        <f t="shared" ref="K135" si="163">IF((K134*K127)&lt;0,0,(K134*K127))</f>
        <v>34450.546062897229</v>
      </c>
      <c r="L135" s="10">
        <f t="shared" ref="L135" si="164">IF((L134*L127)&lt;0,0,(L134*L127))</f>
        <v>37206.589747929</v>
      </c>
      <c r="M135" s="10">
        <f t="shared" ref="M135" si="165">IF((M134*M127)&lt;0,0,(M134*M127))</f>
        <v>40183.116927763323</v>
      </c>
      <c r="V135" s="3">
        <f>SUM(D135:M135)</f>
        <v>296255.6276880948</v>
      </c>
    </row>
    <row r="136" spans="2:23" x14ac:dyDescent="0.25">
      <c r="D136" s="11"/>
    </row>
    <row r="137" spans="2:23" x14ac:dyDescent="0.25">
      <c r="B137" t="s">
        <v>9</v>
      </c>
      <c r="D137" s="10">
        <f>D127+D132+D135</f>
        <v>513000</v>
      </c>
      <c r="E137" s="3">
        <f t="shared" ref="E137:M137" si="166">E127+E132+E135</f>
        <v>548397</v>
      </c>
      <c r="F137" s="3">
        <f t="shared" si="166"/>
        <v>586236.39300000004</v>
      </c>
      <c r="G137" s="3">
        <f t="shared" si="166"/>
        <v>626686.7041170001</v>
      </c>
      <c r="H137" s="3">
        <f t="shared" si="166"/>
        <v>669928.0867010731</v>
      </c>
      <c r="I137" s="3">
        <f t="shared" si="166"/>
        <v>716153.12468344718</v>
      </c>
      <c r="J137" s="3">
        <f t="shared" si="166"/>
        <v>765567.69028660504</v>
      </c>
      <c r="K137" s="3">
        <f t="shared" si="166"/>
        <v>826813.10550953343</v>
      </c>
      <c r="L137" s="3">
        <f t="shared" si="166"/>
        <v>892958.15395029611</v>
      </c>
      <c r="M137" s="3">
        <f t="shared" si="166"/>
        <v>964394.80626631982</v>
      </c>
    </row>
    <row r="138" spans="2:23" x14ac:dyDescent="0.25">
      <c r="D138" s="11"/>
    </row>
    <row r="139" spans="2:23" x14ac:dyDescent="0.25">
      <c r="B139" t="s">
        <v>16</v>
      </c>
      <c r="D139" s="6">
        <v>0</v>
      </c>
      <c r="E139" s="2">
        <f>D139*(1+D140)</f>
        <v>0</v>
      </c>
      <c r="F139" s="2">
        <f t="shared" ref="F139:M139" si="167">E139*(1+E140)</f>
        <v>0</v>
      </c>
      <c r="G139" s="2">
        <f t="shared" si="167"/>
        <v>0</v>
      </c>
      <c r="H139" s="2">
        <f t="shared" si="167"/>
        <v>0</v>
      </c>
      <c r="I139" s="2">
        <f t="shared" si="167"/>
        <v>0</v>
      </c>
      <c r="J139" s="2">
        <f t="shared" si="167"/>
        <v>0</v>
      </c>
      <c r="K139" s="2">
        <f t="shared" si="167"/>
        <v>0</v>
      </c>
      <c r="L139" s="2">
        <f t="shared" si="167"/>
        <v>0</v>
      </c>
      <c r="M139" s="2">
        <f t="shared" si="167"/>
        <v>0</v>
      </c>
    </row>
    <row r="140" spans="2:23" x14ac:dyDescent="0.25">
      <c r="B140" t="s">
        <v>11</v>
      </c>
      <c r="D140" s="9">
        <f>C114</f>
        <v>0.03</v>
      </c>
      <c r="E140" s="1">
        <f>D140</f>
        <v>0.03</v>
      </c>
      <c r="F140" s="1">
        <f t="shared" ref="F140:M140" si="168">E140</f>
        <v>0.03</v>
      </c>
      <c r="G140" s="1">
        <f t="shared" si="168"/>
        <v>0.03</v>
      </c>
      <c r="H140" s="1">
        <f t="shared" si="168"/>
        <v>0.03</v>
      </c>
      <c r="I140" s="1">
        <f t="shared" si="168"/>
        <v>0.03</v>
      </c>
      <c r="J140" s="1">
        <f t="shared" si="168"/>
        <v>0.03</v>
      </c>
      <c r="K140" s="1">
        <f t="shared" si="168"/>
        <v>0.03</v>
      </c>
      <c r="L140" s="1">
        <f t="shared" si="168"/>
        <v>0.03</v>
      </c>
      <c r="M140" s="1">
        <f t="shared" si="168"/>
        <v>0.03</v>
      </c>
    </row>
    <row r="141" spans="2:23" x14ac:dyDescent="0.25">
      <c r="B141" s="11"/>
      <c r="C141" s="11"/>
      <c r="D141" s="9"/>
      <c r="E141" s="1"/>
      <c r="F141" s="1"/>
      <c r="G141" s="1"/>
      <c r="H141" s="1"/>
      <c r="I141" s="1"/>
      <c r="J141" s="1"/>
      <c r="K141" s="1"/>
      <c r="L141" s="1"/>
      <c r="M141" s="1"/>
    </row>
    <row r="142" spans="2:23" x14ac:dyDescent="0.25">
      <c r="B142" s="11" t="s">
        <v>14</v>
      </c>
      <c r="C142" s="11"/>
      <c r="D142" s="9">
        <f>C113</f>
        <v>1.0999999999999999E-2</v>
      </c>
      <c r="E142" s="1">
        <f>D142</f>
        <v>1.0999999999999999E-2</v>
      </c>
      <c r="F142" s="1">
        <f t="shared" ref="F142:M142" si="169">E142</f>
        <v>1.0999999999999999E-2</v>
      </c>
      <c r="G142" s="1">
        <f t="shared" si="169"/>
        <v>1.0999999999999999E-2</v>
      </c>
      <c r="H142" s="1">
        <f t="shared" si="169"/>
        <v>1.0999999999999999E-2</v>
      </c>
      <c r="I142" s="1">
        <f t="shared" si="169"/>
        <v>1.0999999999999999E-2</v>
      </c>
      <c r="J142" s="1">
        <f t="shared" si="169"/>
        <v>1.0999999999999999E-2</v>
      </c>
      <c r="K142" s="1">
        <f t="shared" si="169"/>
        <v>1.0999999999999999E-2</v>
      </c>
      <c r="L142" s="1">
        <f t="shared" si="169"/>
        <v>1.0999999999999999E-2</v>
      </c>
      <c r="M142" s="1">
        <f t="shared" si="169"/>
        <v>1.0999999999999999E-2</v>
      </c>
    </row>
    <row r="143" spans="2:23" x14ac:dyDescent="0.25">
      <c r="B143" s="11" t="s">
        <v>15</v>
      </c>
      <c r="D143" s="2">
        <f>IF((D142*D127)&lt;0,0,(D142*D127))</f>
        <v>5225</v>
      </c>
      <c r="E143" s="2">
        <f t="shared" ref="E143" si="170">IF((E142*E127)&lt;0,0,(E142*E127))</f>
        <v>5585.5249999999996</v>
      </c>
      <c r="F143" s="2">
        <f t="shared" ref="F143" si="171">IF((F142*F127)&lt;0,0,(F142*F127))</f>
        <v>5970.9262249999992</v>
      </c>
      <c r="G143" s="2">
        <f t="shared" ref="G143" si="172">IF((G142*G127)&lt;0,0,(G142*G127))</f>
        <v>6382.9201345250003</v>
      </c>
      <c r="H143" s="2">
        <f t="shared" ref="H143" si="173">IF((H142*H127)&lt;0,0,(H142*H127))</f>
        <v>6823.341623807225</v>
      </c>
      <c r="I143" s="2">
        <f t="shared" ref="I143" si="174">IF((I142*I127)&lt;0,0,(I142*I127))</f>
        <v>7294.1521958499243</v>
      </c>
      <c r="J143" s="2">
        <f t="shared" ref="J143" si="175">IF((J142*J127)&lt;0,0,(J142*J127))</f>
        <v>7797.4486973635694</v>
      </c>
      <c r="K143" s="2">
        <f t="shared" ref="K143" si="176">IF((K142*K127)&lt;0,0,(K142*K127))</f>
        <v>8421.2445931526545</v>
      </c>
      <c r="L143" s="2">
        <f t="shared" ref="L143" si="177">IF((L142*L127)&lt;0,0,(L142*L127))</f>
        <v>9094.9441606048676</v>
      </c>
      <c r="M143" s="2">
        <f t="shared" ref="M143" si="178">IF((M142*M127)&lt;0,0,(M142*M127))</f>
        <v>9822.5396934532564</v>
      </c>
      <c r="V143" s="3">
        <f>SUM(D143:N143)</f>
        <v>72418.042323756497</v>
      </c>
      <c r="W143" s="4">
        <f>V143/V145</f>
        <v>1.9424468699649198</v>
      </c>
    </row>
    <row r="144" spans="2:23" x14ac:dyDescent="0.25">
      <c r="B144" s="11"/>
    </row>
    <row r="145" spans="2:22" x14ac:dyDescent="0.25">
      <c r="B145" t="s">
        <v>17</v>
      </c>
      <c r="D145" s="3">
        <f>IF(D122&lt;=$C$5,(D139+D143),0)</f>
        <v>5225</v>
      </c>
      <c r="E145" s="3">
        <f t="shared" ref="E145:M145" si="179">IF(E122&lt;=$C$5,(E139+E143),0)</f>
        <v>5585.5249999999996</v>
      </c>
      <c r="F145" s="3">
        <f t="shared" si="179"/>
        <v>5970.9262249999992</v>
      </c>
      <c r="G145" s="3">
        <f t="shared" si="179"/>
        <v>6382.9201345250003</v>
      </c>
      <c r="H145" s="3">
        <f t="shared" si="179"/>
        <v>6823.341623807225</v>
      </c>
      <c r="I145" s="3">
        <f t="shared" si="179"/>
        <v>7294.1521958499243</v>
      </c>
      <c r="J145" s="3">
        <f t="shared" si="179"/>
        <v>0</v>
      </c>
      <c r="K145" s="3">
        <f t="shared" si="179"/>
        <v>0</v>
      </c>
      <c r="L145" s="3">
        <f t="shared" si="179"/>
        <v>0</v>
      </c>
      <c r="M145" s="3">
        <f t="shared" si="179"/>
        <v>0</v>
      </c>
      <c r="V145" s="3">
        <f>SUM(D145:N145)</f>
        <v>37281.865179182147</v>
      </c>
    </row>
    <row r="146" spans="2:22" x14ac:dyDescent="0.25">
      <c r="B146" s="11"/>
    </row>
    <row r="147" spans="2:22" x14ac:dyDescent="0.25">
      <c r="B147" t="s">
        <v>10</v>
      </c>
      <c r="D147" s="3">
        <f>D137-D139</f>
        <v>513000</v>
      </c>
      <c r="E147" s="3">
        <f>E137-E139</f>
        <v>548397</v>
      </c>
      <c r="F147" s="3">
        <f>F137-F139</f>
        <v>586236.39300000004</v>
      </c>
      <c r="G147" s="3">
        <f>G137-G139</f>
        <v>626686.7041170001</v>
      </c>
      <c r="H147" s="3">
        <f>H137-H139</f>
        <v>669928.0867010731</v>
      </c>
      <c r="I147" s="3">
        <f>I137-I139</f>
        <v>716153.12468344718</v>
      </c>
      <c r="J147" s="3">
        <f>J137-J139</f>
        <v>765567.69028660504</v>
      </c>
      <c r="K147" s="3">
        <f>K137-K139</f>
        <v>826813.10550953343</v>
      </c>
      <c r="L147" s="3">
        <f>L137-L139</f>
        <v>892958.15395029611</v>
      </c>
      <c r="M147" s="3">
        <f>M137-M139</f>
        <v>964394.80626631982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6AB0-C116-42FB-AF19-0367166338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4D13-90F5-4C5A-9586-6187A61E5D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3592-B6BA-4CF6-89A9-AC32E89E69F6}">
  <dimension ref="B1:AJ110"/>
  <sheetViews>
    <sheetView topLeftCell="A25" workbookViewId="0">
      <pane xSplit="4" topLeftCell="AE1" activePane="topRight" state="frozen"/>
      <selection activeCell="A7" sqref="A7"/>
      <selection pane="topRight" activeCell="D30" sqref="D30"/>
    </sheetView>
  </sheetViews>
  <sheetFormatPr defaultRowHeight="15" x14ac:dyDescent="0.25"/>
  <cols>
    <col min="2" max="2" width="35.42578125" bestFit="1" customWidth="1"/>
    <col min="3" max="3" width="9.5703125" bestFit="1" customWidth="1"/>
    <col min="4" max="4" width="17" customWidth="1"/>
    <col min="5" max="5" width="10.28515625" customWidth="1"/>
    <col min="6" max="12" width="9.5703125" bestFit="1" customWidth="1"/>
    <col min="13" max="13" width="10.5703125" bestFit="1" customWidth="1"/>
    <col min="35" max="36" width="5.85546875" bestFit="1" customWidth="1"/>
  </cols>
  <sheetData>
    <row r="1" spans="2:3" x14ac:dyDescent="0.25">
      <c r="B1" s="7" t="s">
        <v>50</v>
      </c>
    </row>
    <row r="2" spans="2:3" s="11" customFormat="1" x14ac:dyDescent="0.25">
      <c r="B2" s="11" t="s">
        <v>35</v>
      </c>
      <c r="C2" s="11">
        <f>'Income - Stage 1'!C3</f>
        <v>2026</v>
      </c>
    </row>
    <row r="3" spans="2:3" x14ac:dyDescent="0.25">
      <c r="B3" t="s">
        <v>12</v>
      </c>
      <c r="C3" s="7">
        <f>'Income - Stage 1'!C4</f>
        <v>1</v>
      </c>
    </row>
    <row r="4" spans="2:3" x14ac:dyDescent="0.25">
      <c r="B4" t="s">
        <v>27</v>
      </c>
      <c r="C4" s="7">
        <v>26</v>
      </c>
    </row>
    <row r="5" spans="2:3" x14ac:dyDescent="0.25">
      <c r="B5" t="s">
        <v>13</v>
      </c>
      <c r="C5" s="11">
        <f>C2+C4</f>
        <v>2052</v>
      </c>
    </row>
    <row r="6" spans="2:3" x14ac:dyDescent="0.25">
      <c r="B6" t="s">
        <v>36</v>
      </c>
      <c r="C6" s="11">
        <f>C5+1</f>
        <v>2053</v>
      </c>
    </row>
    <row r="7" spans="2:3" x14ac:dyDescent="0.25">
      <c r="C7" s="11"/>
    </row>
    <row r="8" spans="2:3" x14ac:dyDescent="0.25">
      <c r="B8" t="s">
        <v>29</v>
      </c>
      <c r="C8" s="6">
        <f>'Income - Stage 1'!C7</f>
        <v>65</v>
      </c>
    </row>
    <row r="9" spans="2:3" x14ac:dyDescent="0.25">
      <c r="B9" t="s">
        <v>31</v>
      </c>
      <c r="C9" s="12">
        <f>C8+C4</f>
        <v>91</v>
      </c>
    </row>
    <row r="10" spans="2:3" x14ac:dyDescent="0.25">
      <c r="C10" s="12"/>
    </row>
    <row r="11" spans="2:3" x14ac:dyDescent="0.25">
      <c r="B11" t="s">
        <v>30</v>
      </c>
      <c r="C11" s="6">
        <f>'Income - Stage 1'!C8</f>
        <v>62</v>
      </c>
    </row>
    <row r="12" spans="2:3" x14ac:dyDescent="0.25">
      <c r="B12" t="s">
        <v>32</v>
      </c>
      <c r="C12" s="12">
        <f>C11+C4</f>
        <v>88</v>
      </c>
    </row>
    <row r="13" spans="2:3" x14ac:dyDescent="0.25">
      <c r="C13" s="12"/>
    </row>
    <row r="14" spans="2:3" x14ac:dyDescent="0.25">
      <c r="B14" t="s">
        <v>4</v>
      </c>
      <c r="C14" s="5">
        <v>0.15</v>
      </c>
    </row>
    <row r="15" spans="2:3" x14ac:dyDescent="0.25">
      <c r="B15" t="s">
        <v>18</v>
      </c>
      <c r="C15" s="5">
        <v>1.0999999999999999E-2</v>
      </c>
    </row>
    <row r="16" spans="2:3" x14ac:dyDescent="0.25">
      <c r="B16" t="s">
        <v>21</v>
      </c>
      <c r="C16" s="5">
        <v>0.03</v>
      </c>
    </row>
    <row r="17" spans="2:35" x14ac:dyDescent="0.25">
      <c r="C17" s="11"/>
    </row>
    <row r="18" spans="2:35" x14ac:dyDescent="0.25">
      <c r="B18" t="s">
        <v>23</v>
      </c>
      <c r="C18" s="7" t="s">
        <v>33</v>
      </c>
      <c r="D18" t="s">
        <v>34</v>
      </c>
    </row>
    <row r="19" spans="2:35" x14ac:dyDescent="0.25">
      <c r="B19" t="s">
        <v>25</v>
      </c>
      <c r="C19" s="11"/>
    </row>
    <row r="20" spans="2:35" x14ac:dyDescent="0.25">
      <c r="B20" t="s">
        <v>2</v>
      </c>
      <c r="C20" s="5">
        <v>3.5000000000000003E-2</v>
      </c>
    </row>
    <row r="21" spans="2:35" x14ac:dyDescent="0.25">
      <c r="B21" t="s">
        <v>7</v>
      </c>
      <c r="C21" s="5">
        <v>4.4999999999999998E-2</v>
      </c>
    </row>
    <row r="23" spans="2:35" x14ac:dyDescent="0.25">
      <c r="B23" s="11" t="s">
        <v>28</v>
      </c>
      <c r="D23" s="11">
        <f>C2</f>
        <v>2026</v>
      </c>
      <c r="E23">
        <f>D23+1</f>
        <v>2027</v>
      </c>
      <c r="F23">
        <f t="shared" ref="F23:AI26" si="0">E23+1</f>
        <v>2028</v>
      </c>
      <c r="G23">
        <f t="shared" si="0"/>
        <v>2029</v>
      </c>
      <c r="H23">
        <f t="shared" si="0"/>
        <v>2030</v>
      </c>
      <c r="I23">
        <f t="shared" si="0"/>
        <v>2031</v>
      </c>
      <c r="J23">
        <f t="shared" si="0"/>
        <v>2032</v>
      </c>
      <c r="K23">
        <f t="shared" si="0"/>
        <v>2033</v>
      </c>
      <c r="L23">
        <f t="shared" si="0"/>
        <v>2034</v>
      </c>
      <c r="M23">
        <f t="shared" si="0"/>
        <v>2035</v>
      </c>
      <c r="N23">
        <f t="shared" si="0"/>
        <v>2036</v>
      </c>
      <c r="O23">
        <f t="shared" si="0"/>
        <v>2037</v>
      </c>
      <c r="P23">
        <f t="shared" si="0"/>
        <v>2038</v>
      </c>
      <c r="Q23">
        <f t="shared" si="0"/>
        <v>2039</v>
      </c>
      <c r="R23">
        <f t="shared" si="0"/>
        <v>2040</v>
      </c>
      <c r="S23">
        <f t="shared" si="0"/>
        <v>2041</v>
      </c>
      <c r="T23">
        <f t="shared" si="0"/>
        <v>2042</v>
      </c>
      <c r="U23">
        <f t="shared" si="0"/>
        <v>2043</v>
      </c>
      <c r="V23">
        <f t="shared" si="0"/>
        <v>2044</v>
      </c>
      <c r="W23">
        <f t="shared" si="0"/>
        <v>2045</v>
      </c>
      <c r="X23">
        <f t="shared" si="0"/>
        <v>2046</v>
      </c>
      <c r="Y23">
        <f t="shared" si="0"/>
        <v>2047</v>
      </c>
      <c r="Z23">
        <f t="shared" si="0"/>
        <v>2048</v>
      </c>
      <c r="AA23">
        <f t="shared" si="0"/>
        <v>2049</v>
      </c>
      <c r="AB23">
        <f t="shared" si="0"/>
        <v>2050</v>
      </c>
      <c r="AC23">
        <f t="shared" si="0"/>
        <v>2051</v>
      </c>
      <c r="AD23">
        <f t="shared" si="0"/>
        <v>2052</v>
      </c>
      <c r="AE23">
        <f t="shared" si="0"/>
        <v>2053</v>
      </c>
      <c r="AF23">
        <f t="shared" si="0"/>
        <v>2054</v>
      </c>
      <c r="AG23">
        <f t="shared" si="0"/>
        <v>2055</v>
      </c>
      <c r="AH23">
        <f t="shared" si="0"/>
        <v>2056</v>
      </c>
      <c r="AI23">
        <f t="shared" si="0"/>
        <v>2057</v>
      </c>
    </row>
    <row r="24" spans="2:35" x14ac:dyDescent="0.25">
      <c r="B24" t="s">
        <v>3</v>
      </c>
      <c r="D24">
        <f>C3</f>
        <v>1</v>
      </c>
      <c r="E24">
        <f>D24+1</f>
        <v>2</v>
      </c>
      <c r="F24">
        <f t="shared" si="0"/>
        <v>3</v>
      </c>
      <c r="G24">
        <f t="shared" si="0"/>
        <v>4</v>
      </c>
      <c r="H24">
        <f t="shared" si="0"/>
        <v>5</v>
      </c>
      <c r="I24">
        <f t="shared" si="0"/>
        <v>6</v>
      </c>
      <c r="J24">
        <f t="shared" si="0"/>
        <v>7</v>
      </c>
      <c r="K24">
        <f t="shared" si="0"/>
        <v>8</v>
      </c>
      <c r="L24" s="11">
        <f t="shared" si="0"/>
        <v>9</v>
      </c>
      <c r="M24" s="11">
        <f t="shared" si="0"/>
        <v>10</v>
      </c>
      <c r="N24" s="11">
        <f t="shared" si="0"/>
        <v>11</v>
      </c>
      <c r="O24" s="11">
        <f t="shared" si="0"/>
        <v>12</v>
      </c>
      <c r="P24" s="11">
        <f t="shared" si="0"/>
        <v>13</v>
      </c>
      <c r="Q24" s="11">
        <f t="shared" si="0"/>
        <v>14</v>
      </c>
      <c r="R24" s="11">
        <f t="shared" si="0"/>
        <v>15</v>
      </c>
      <c r="S24" s="11">
        <f t="shared" si="0"/>
        <v>16</v>
      </c>
      <c r="T24" s="11">
        <f t="shared" si="0"/>
        <v>17</v>
      </c>
      <c r="U24" s="11">
        <f t="shared" si="0"/>
        <v>18</v>
      </c>
      <c r="V24" s="11">
        <f t="shared" si="0"/>
        <v>19</v>
      </c>
      <c r="W24" s="11">
        <f t="shared" si="0"/>
        <v>20</v>
      </c>
      <c r="X24" s="11">
        <f t="shared" si="0"/>
        <v>21</v>
      </c>
      <c r="Y24" s="11">
        <f t="shared" si="0"/>
        <v>22</v>
      </c>
      <c r="Z24" s="11">
        <f t="shared" si="0"/>
        <v>23</v>
      </c>
      <c r="AA24" s="11">
        <f t="shared" si="0"/>
        <v>24</v>
      </c>
      <c r="AB24" s="11">
        <f t="shared" si="0"/>
        <v>25</v>
      </c>
      <c r="AC24" s="11">
        <f t="shared" si="0"/>
        <v>26</v>
      </c>
      <c r="AD24" s="11">
        <f t="shared" si="0"/>
        <v>27</v>
      </c>
      <c r="AE24" s="11">
        <f t="shared" si="0"/>
        <v>28</v>
      </c>
      <c r="AF24" s="11">
        <f t="shared" si="0"/>
        <v>29</v>
      </c>
      <c r="AG24" s="11">
        <f t="shared" si="0"/>
        <v>30</v>
      </c>
      <c r="AH24" s="11">
        <f t="shared" si="0"/>
        <v>31</v>
      </c>
      <c r="AI24" s="11">
        <f t="shared" si="0"/>
        <v>32</v>
      </c>
    </row>
    <row r="25" spans="2:35" x14ac:dyDescent="0.25">
      <c r="B25" t="s">
        <v>19</v>
      </c>
      <c r="D25" s="3">
        <f>C8</f>
        <v>65</v>
      </c>
      <c r="E25" s="3">
        <f>D25+1</f>
        <v>66</v>
      </c>
      <c r="F25" s="3">
        <f t="shared" si="0"/>
        <v>67</v>
      </c>
      <c r="G25" s="3">
        <f t="shared" si="0"/>
        <v>68</v>
      </c>
      <c r="H25" s="3">
        <f t="shared" si="0"/>
        <v>69</v>
      </c>
      <c r="I25" s="3">
        <f t="shared" si="0"/>
        <v>70</v>
      </c>
      <c r="J25" s="3">
        <f t="shared" si="0"/>
        <v>71</v>
      </c>
      <c r="K25" s="3">
        <f t="shared" si="0"/>
        <v>72</v>
      </c>
      <c r="L25" s="10">
        <f t="shared" si="0"/>
        <v>73</v>
      </c>
      <c r="M25" s="10">
        <f t="shared" si="0"/>
        <v>74</v>
      </c>
      <c r="N25" s="10">
        <f t="shared" si="0"/>
        <v>75</v>
      </c>
      <c r="O25" s="10">
        <f t="shared" si="0"/>
        <v>76</v>
      </c>
      <c r="P25" s="10">
        <f t="shared" si="0"/>
        <v>77</v>
      </c>
      <c r="Q25" s="10">
        <f t="shared" si="0"/>
        <v>78</v>
      </c>
      <c r="R25" s="10">
        <f t="shared" si="0"/>
        <v>79</v>
      </c>
      <c r="S25" s="10">
        <f t="shared" si="0"/>
        <v>80</v>
      </c>
      <c r="T25" s="10">
        <f t="shared" si="0"/>
        <v>81</v>
      </c>
      <c r="U25" s="10">
        <f t="shared" si="0"/>
        <v>82</v>
      </c>
      <c r="V25" s="10">
        <f t="shared" si="0"/>
        <v>83</v>
      </c>
      <c r="W25" s="10">
        <f t="shared" si="0"/>
        <v>84</v>
      </c>
      <c r="X25" s="10">
        <f t="shared" si="0"/>
        <v>85</v>
      </c>
      <c r="Y25" s="10">
        <f t="shared" si="0"/>
        <v>86</v>
      </c>
      <c r="Z25" s="10">
        <f t="shared" si="0"/>
        <v>87</v>
      </c>
      <c r="AA25" s="10">
        <f t="shared" si="0"/>
        <v>88</v>
      </c>
      <c r="AB25" s="10">
        <f t="shared" si="0"/>
        <v>89</v>
      </c>
      <c r="AC25" s="10">
        <f t="shared" si="0"/>
        <v>90</v>
      </c>
      <c r="AD25" s="10">
        <f t="shared" si="0"/>
        <v>91</v>
      </c>
      <c r="AE25" s="10">
        <f t="shared" si="0"/>
        <v>92</v>
      </c>
      <c r="AF25" s="10">
        <f t="shared" si="0"/>
        <v>93</v>
      </c>
      <c r="AG25" s="10">
        <f t="shared" si="0"/>
        <v>94</v>
      </c>
      <c r="AH25" s="10">
        <f t="shared" si="0"/>
        <v>95</v>
      </c>
      <c r="AI25" s="10">
        <f t="shared" si="0"/>
        <v>96</v>
      </c>
    </row>
    <row r="26" spans="2:35" x14ac:dyDescent="0.25">
      <c r="B26" t="s">
        <v>20</v>
      </c>
      <c r="D26" s="3">
        <f>C11</f>
        <v>62</v>
      </c>
      <c r="E26" s="3">
        <f>D26+1</f>
        <v>63</v>
      </c>
      <c r="F26" s="3">
        <f t="shared" si="0"/>
        <v>64</v>
      </c>
      <c r="G26" s="3">
        <f t="shared" si="0"/>
        <v>65</v>
      </c>
      <c r="H26" s="3">
        <f t="shared" si="0"/>
        <v>66</v>
      </c>
      <c r="I26" s="3">
        <f t="shared" si="0"/>
        <v>67</v>
      </c>
      <c r="J26" s="3">
        <f t="shared" si="0"/>
        <v>68</v>
      </c>
      <c r="K26" s="3">
        <f t="shared" si="0"/>
        <v>69</v>
      </c>
      <c r="L26" s="10">
        <f t="shared" si="0"/>
        <v>70</v>
      </c>
      <c r="M26" s="10">
        <f t="shared" si="0"/>
        <v>71</v>
      </c>
      <c r="N26" s="10">
        <f t="shared" si="0"/>
        <v>72</v>
      </c>
      <c r="O26" s="10">
        <f t="shared" si="0"/>
        <v>73</v>
      </c>
      <c r="P26" s="10">
        <f t="shared" si="0"/>
        <v>74</v>
      </c>
      <c r="Q26" s="10">
        <f t="shared" si="0"/>
        <v>75</v>
      </c>
      <c r="R26" s="10">
        <f t="shared" si="0"/>
        <v>76</v>
      </c>
      <c r="S26" s="10">
        <f t="shared" si="0"/>
        <v>77</v>
      </c>
      <c r="T26" s="10">
        <f t="shared" si="0"/>
        <v>78</v>
      </c>
      <c r="U26" s="10">
        <f t="shared" si="0"/>
        <v>79</v>
      </c>
      <c r="V26" s="10">
        <f t="shared" si="0"/>
        <v>80</v>
      </c>
      <c r="W26" s="10">
        <f t="shared" si="0"/>
        <v>81</v>
      </c>
      <c r="X26" s="10">
        <f t="shared" si="0"/>
        <v>82</v>
      </c>
      <c r="Y26" s="10">
        <f t="shared" si="0"/>
        <v>83</v>
      </c>
      <c r="Z26" s="10">
        <f t="shared" si="0"/>
        <v>84</v>
      </c>
      <c r="AA26" s="10">
        <f t="shared" si="0"/>
        <v>85</v>
      </c>
      <c r="AB26" s="10">
        <f t="shared" si="0"/>
        <v>86</v>
      </c>
      <c r="AC26" s="10">
        <f t="shared" si="0"/>
        <v>87</v>
      </c>
      <c r="AD26" s="10">
        <f t="shared" si="0"/>
        <v>88</v>
      </c>
      <c r="AE26" s="10">
        <f t="shared" si="0"/>
        <v>89</v>
      </c>
      <c r="AF26" s="10">
        <f t="shared" si="0"/>
        <v>90</v>
      </c>
      <c r="AG26" s="10">
        <f t="shared" si="0"/>
        <v>91</v>
      </c>
      <c r="AH26" s="10">
        <f t="shared" si="0"/>
        <v>92</v>
      </c>
      <c r="AI26" s="10">
        <f t="shared" si="0"/>
        <v>93</v>
      </c>
    </row>
    <row r="27" spans="2:35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9" spans="2:35" x14ac:dyDescent="0.25">
      <c r="B29" t="s">
        <v>0</v>
      </c>
      <c r="D29" s="13">
        <v>112500</v>
      </c>
      <c r="E29" s="8">
        <f>D58</f>
        <v>67609.375</v>
      </c>
      <c r="F29" s="8">
        <f t="shared" ref="F29:AI29" si="1">E58</f>
        <v>69363.17578125</v>
      </c>
      <c r="G29" s="8">
        <f t="shared" si="1"/>
        <v>71248.073170898439</v>
      </c>
      <c r="H29" s="8">
        <f t="shared" si="1"/>
        <v>73273.86664042309</v>
      </c>
      <c r="I29" s="8">
        <f t="shared" si="1"/>
        <v>75451.088171794705</v>
      </c>
      <c r="J29" s="8">
        <f t="shared" si="1"/>
        <v>77791.05701263636</v>
      </c>
      <c r="K29" s="8">
        <f t="shared" si="1"/>
        <v>80305.938524330923</v>
      </c>
      <c r="L29" s="8">
        <f t="shared" si="1"/>
        <v>83008.807429024659</v>
      </c>
      <c r="M29" s="8">
        <f t="shared" si="1"/>
        <v>85913.71578434424</v>
      </c>
      <c r="N29" s="8">
        <f t="shared" si="1"/>
        <v>49035.766039223963</v>
      </c>
      <c r="O29" s="8">
        <f t="shared" si="1"/>
        <v>49401.189550655952</v>
      </c>
      <c r="P29" s="8">
        <f t="shared" si="1"/>
        <v>49793.928469567487</v>
      </c>
      <c r="Q29" s="8">
        <f t="shared" si="1"/>
        <v>50216.024622667654</v>
      </c>
      <c r="R29" s="8">
        <f t="shared" si="1"/>
        <v>50669.67246321206</v>
      </c>
      <c r="S29" s="8">
        <f t="shared" si="1"/>
        <v>51157.230479837162</v>
      </c>
      <c r="T29" s="8">
        <f t="shared" si="1"/>
        <v>51681.233458204988</v>
      </c>
      <c r="U29" s="8">
        <f t="shared" si="1"/>
        <v>52244.405659205811</v>
      </c>
      <c r="V29" s="8">
        <f t="shared" si="1"/>
        <v>52849.674982231445</v>
      </c>
      <c r="W29" s="8">
        <f t="shared" si="1"/>
        <v>13500.188187153246</v>
      </c>
      <c r="X29" s="8">
        <f t="shared" si="1"/>
        <v>11209.327254142951</v>
      </c>
      <c r="Y29" s="8">
        <f t="shared" si="1"/>
        <v>8747.2244663901347</v>
      </c>
      <c r="Z29" s="8">
        <f t="shared" si="1"/>
        <v>6101.0794952527976</v>
      </c>
      <c r="AA29" s="8">
        <f t="shared" si="1"/>
        <v>3257.1351875229439</v>
      </c>
      <c r="AB29" s="8">
        <f t="shared" si="1"/>
        <v>200.60604279028394</v>
      </c>
      <c r="AC29" s="8">
        <f t="shared" si="1"/>
        <v>-3084.3986555111424</v>
      </c>
      <c r="AD29" s="8">
        <f t="shared" si="1"/>
        <v>-6384.3986555111424</v>
      </c>
      <c r="AE29" s="8">
        <f t="shared" si="1"/>
        <v>315.60134448885765</v>
      </c>
      <c r="AF29" s="8">
        <f t="shared" si="1"/>
        <v>339.19254498939972</v>
      </c>
      <c r="AG29" s="8">
        <f t="shared" si="1"/>
        <v>364.54718772735737</v>
      </c>
      <c r="AH29" s="8">
        <f t="shared" si="1"/>
        <v>391.7970900099773</v>
      </c>
      <c r="AI29" s="8">
        <f t="shared" si="1"/>
        <v>421.08392248822315</v>
      </c>
    </row>
    <row r="30" spans="2:35" x14ac:dyDescent="0.25">
      <c r="B30" t="s">
        <v>2</v>
      </c>
      <c r="D30" s="9">
        <f>C20</f>
        <v>3.5000000000000003E-2</v>
      </c>
      <c r="E30" s="1">
        <f>D30</f>
        <v>3.5000000000000003E-2</v>
      </c>
      <c r="F30" s="1">
        <f t="shared" ref="F30:AI30" si="2">E30</f>
        <v>3.5000000000000003E-2</v>
      </c>
      <c r="G30" s="1">
        <f t="shared" si="2"/>
        <v>3.5000000000000003E-2</v>
      </c>
      <c r="H30" s="1">
        <f t="shared" si="2"/>
        <v>3.5000000000000003E-2</v>
      </c>
      <c r="I30" s="1">
        <f t="shared" si="2"/>
        <v>3.5000000000000003E-2</v>
      </c>
      <c r="J30" s="1">
        <f t="shared" si="2"/>
        <v>3.5000000000000003E-2</v>
      </c>
      <c r="K30" s="1">
        <f t="shared" si="2"/>
        <v>3.5000000000000003E-2</v>
      </c>
      <c r="L30" s="1">
        <f t="shared" si="2"/>
        <v>3.5000000000000003E-2</v>
      </c>
      <c r="M30" s="1">
        <f t="shared" si="2"/>
        <v>3.5000000000000003E-2</v>
      </c>
      <c r="N30" s="1">
        <f t="shared" si="2"/>
        <v>3.5000000000000003E-2</v>
      </c>
      <c r="O30" s="1">
        <f t="shared" si="2"/>
        <v>3.5000000000000003E-2</v>
      </c>
      <c r="P30" s="1">
        <f t="shared" si="2"/>
        <v>3.5000000000000003E-2</v>
      </c>
      <c r="Q30" s="1">
        <f t="shared" si="2"/>
        <v>3.5000000000000003E-2</v>
      </c>
      <c r="R30" s="1">
        <f t="shared" si="2"/>
        <v>3.5000000000000003E-2</v>
      </c>
      <c r="S30" s="1">
        <f t="shared" si="2"/>
        <v>3.5000000000000003E-2</v>
      </c>
      <c r="T30" s="1">
        <f t="shared" si="2"/>
        <v>3.5000000000000003E-2</v>
      </c>
      <c r="U30" s="1">
        <f t="shared" si="2"/>
        <v>3.5000000000000003E-2</v>
      </c>
      <c r="V30" s="1">
        <f t="shared" si="2"/>
        <v>3.5000000000000003E-2</v>
      </c>
      <c r="W30" s="1">
        <f t="shared" si="2"/>
        <v>3.5000000000000003E-2</v>
      </c>
      <c r="X30" s="1">
        <f t="shared" si="2"/>
        <v>3.5000000000000003E-2</v>
      </c>
      <c r="Y30" s="1">
        <f t="shared" si="2"/>
        <v>3.5000000000000003E-2</v>
      </c>
      <c r="Z30" s="1">
        <f t="shared" si="2"/>
        <v>3.5000000000000003E-2</v>
      </c>
      <c r="AA30" s="1">
        <f t="shared" si="2"/>
        <v>3.5000000000000003E-2</v>
      </c>
      <c r="AB30" s="1">
        <f t="shared" si="2"/>
        <v>3.5000000000000003E-2</v>
      </c>
      <c r="AC30" s="1">
        <f t="shared" si="2"/>
        <v>3.5000000000000003E-2</v>
      </c>
      <c r="AD30" s="1">
        <f t="shared" si="2"/>
        <v>3.5000000000000003E-2</v>
      </c>
      <c r="AE30" s="1">
        <f t="shared" si="2"/>
        <v>3.5000000000000003E-2</v>
      </c>
      <c r="AF30" s="1">
        <f t="shared" si="2"/>
        <v>3.5000000000000003E-2</v>
      </c>
      <c r="AG30" s="1">
        <f t="shared" si="2"/>
        <v>3.5000000000000003E-2</v>
      </c>
      <c r="AH30" s="1">
        <f t="shared" si="2"/>
        <v>3.5000000000000003E-2</v>
      </c>
      <c r="AI30" s="1">
        <f t="shared" si="2"/>
        <v>3.5000000000000003E-2</v>
      </c>
    </row>
    <row r="31" spans="2:35" x14ac:dyDescent="0.25">
      <c r="B31" t="s">
        <v>1</v>
      </c>
      <c r="D31" s="10">
        <f>D29*D30</f>
        <v>3937.5000000000005</v>
      </c>
      <c r="E31" s="3">
        <f t="shared" ref="E31:AI31" si="3">E29*E30</f>
        <v>2366.328125</v>
      </c>
      <c r="F31" s="3">
        <f t="shared" si="3"/>
        <v>2427.7111523437502</v>
      </c>
      <c r="G31" s="3">
        <f t="shared" si="3"/>
        <v>2493.6825609814455</v>
      </c>
      <c r="H31" s="3">
        <f t="shared" si="3"/>
        <v>2564.5853324148084</v>
      </c>
      <c r="I31" s="3">
        <f t="shared" si="3"/>
        <v>2640.7880860128148</v>
      </c>
      <c r="J31" s="3">
        <f t="shared" si="3"/>
        <v>2722.6869954422727</v>
      </c>
      <c r="K31" s="3">
        <f t="shared" si="3"/>
        <v>2810.7078483515825</v>
      </c>
      <c r="L31" s="3">
        <f t="shared" si="3"/>
        <v>2905.3082600158632</v>
      </c>
      <c r="M31" s="3">
        <f t="shared" si="3"/>
        <v>3006.9800524520488</v>
      </c>
      <c r="N31" s="3">
        <f t="shared" si="3"/>
        <v>1716.2518113728388</v>
      </c>
      <c r="O31" s="3">
        <f t="shared" si="3"/>
        <v>1729.0416342729584</v>
      </c>
      <c r="P31" s="3">
        <f t="shared" si="3"/>
        <v>1742.7874964348623</v>
      </c>
      <c r="Q31" s="3">
        <f t="shared" si="3"/>
        <v>1757.5608617933681</v>
      </c>
      <c r="R31" s="3">
        <f t="shared" si="3"/>
        <v>1773.4385362124224</v>
      </c>
      <c r="S31" s="3">
        <f t="shared" si="3"/>
        <v>1790.5030667943008</v>
      </c>
      <c r="T31" s="3">
        <f t="shared" si="3"/>
        <v>1808.8431710371747</v>
      </c>
      <c r="U31" s="3">
        <f t="shared" si="3"/>
        <v>1828.5541980722035</v>
      </c>
      <c r="V31" s="3">
        <f t="shared" si="3"/>
        <v>1849.7386243781007</v>
      </c>
      <c r="W31" s="3">
        <f t="shared" si="3"/>
        <v>472.50658655036364</v>
      </c>
      <c r="X31" s="3">
        <f t="shared" si="3"/>
        <v>392.32645389500328</v>
      </c>
      <c r="Y31" s="3">
        <f t="shared" si="3"/>
        <v>306.15285632365476</v>
      </c>
      <c r="Z31" s="3">
        <f t="shared" si="3"/>
        <v>213.53778233384793</v>
      </c>
      <c r="AA31" s="3">
        <f t="shared" si="3"/>
        <v>113.99973156330304</v>
      </c>
      <c r="AB31" s="3">
        <f t="shared" si="3"/>
        <v>7.0212114976599382</v>
      </c>
      <c r="AC31" s="3">
        <f t="shared" si="3"/>
        <v>-107.95395294289</v>
      </c>
      <c r="AD31" s="3">
        <f t="shared" si="3"/>
        <v>-223.45395294289</v>
      </c>
      <c r="AE31" s="3">
        <f t="shared" si="3"/>
        <v>11.04604705711002</v>
      </c>
      <c r="AF31" s="3">
        <f t="shared" si="3"/>
        <v>11.871739074628991</v>
      </c>
      <c r="AG31" s="3">
        <f t="shared" si="3"/>
        <v>12.75915157045751</v>
      </c>
      <c r="AH31" s="3">
        <f t="shared" si="3"/>
        <v>13.712898150349206</v>
      </c>
      <c r="AI31" s="3">
        <f t="shared" si="3"/>
        <v>14.737937287087812</v>
      </c>
    </row>
    <row r="32" spans="2:35" x14ac:dyDescent="0.25">
      <c r="B32" t="s">
        <v>4</v>
      </c>
      <c r="D32" s="9">
        <f>C14</f>
        <v>0.15</v>
      </c>
      <c r="E32" s="4">
        <f>D32</f>
        <v>0.15</v>
      </c>
      <c r="F32" s="4">
        <f t="shared" ref="F32:AI32" si="4">E32</f>
        <v>0.15</v>
      </c>
      <c r="G32" s="4">
        <f t="shared" si="4"/>
        <v>0.15</v>
      </c>
      <c r="H32" s="4">
        <f t="shared" si="4"/>
        <v>0.15</v>
      </c>
      <c r="I32" s="4">
        <f t="shared" si="4"/>
        <v>0.15</v>
      </c>
      <c r="J32" s="4">
        <f t="shared" si="4"/>
        <v>0.15</v>
      </c>
      <c r="K32" s="4">
        <f t="shared" si="4"/>
        <v>0.15</v>
      </c>
      <c r="L32" s="4">
        <f t="shared" si="4"/>
        <v>0.15</v>
      </c>
      <c r="M32" s="4">
        <f t="shared" si="4"/>
        <v>0.15</v>
      </c>
      <c r="N32" s="4">
        <f t="shared" si="4"/>
        <v>0.15</v>
      </c>
      <c r="O32" s="4">
        <f t="shared" si="4"/>
        <v>0.15</v>
      </c>
      <c r="P32" s="4">
        <f t="shared" si="4"/>
        <v>0.15</v>
      </c>
      <c r="Q32" s="4">
        <f t="shared" si="4"/>
        <v>0.15</v>
      </c>
      <c r="R32" s="4">
        <f t="shared" si="4"/>
        <v>0.15</v>
      </c>
      <c r="S32" s="4">
        <f t="shared" si="4"/>
        <v>0.15</v>
      </c>
      <c r="T32" s="4">
        <f t="shared" si="4"/>
        <v>0.15</v>
      </c>
      <c r="U32" s="4">
        <f t="shared" si="4"/>
        <v>0.15</v>
      </c>
      <c r="V32" s="4">
        <f t="shared" si="4"/>
        <v>0.15</v>
      </c>
      <c r="W32" s="4">
        <f t="shared" si="4"/>
        <v>0.15</v>
      </c>
      <c r="X32" s="4">
        <f t="shared" si="4"/>
        <v>0.15</v>
      </c>
      <c r="Y32" s="4">
        <f t="shared" si="4"/>
        <v>0.15</v>
      </c>
      <c r="Z32" s="4">
        <f t="shared" si="4"/>
        <v>0.15</v>
      </c>
      <c r="AA32" s="4">
        <f t="shared" si="4"/>
        <v>0.15</v>
      </c>
      <c r="AB32" s="4">
        <f t="shared" si="4"/>
        <v>0.15</v>
      </c>
      <c r="AC32" s="4">
        <f t="shared" si="4"/>
        <v>0.15</v>
      </c>
      <c r="AD32" s="4">
        <f t="shared" si="4"/>
        <v>0.15</v>
      </c>
      <c r="AE32" s="4">
        <f t="shared" si="4"/>
        <v>0.15</v>
      </c>
      <c r="AF32" s="4">
        <f t="shared" si="4"/>
        <v>0.15</v>
      </c>
      <c r="AG32" s="4">
        <f t="shared" si="4"/>
        <v>0.15</v>
      </c>
      <c r="AH32" s="4">
        <f t="shared" si="4"/>
        <v>0.15</v>
      </c>
      <c r="AI32" s="4">
        <f t="shared" si="4"/>
        <v>0.15</v>
      </c>
    </row>
    <row r="33" spans="2:35" x14ac:dyDescent="0.25">
      <c r="B33" t="s">
        <v>5</v>
      </c>
      <c r="D33" s="10">
        <f>IF((D31*D32)&lt;0,0,(D31*D32))</f>
        <v>590.625</v>
      </c>
      <c r="E33" s="10">
        <f t="shared" ref="E33:AI33" si="5">IF((E31*E32)&lt;0,0,(E31*E32))</f>
        <v>354.94921875</v>
      </c>
      <c r="F33" s="10">
        <f t="shared" si="5"/>
        <v>364.15667285156252</v>
      </c>
      <c r="G33" s="10">
        <f t="shared" si="5"/>
        <v>374.0523841472168</v>
      </c>
      <c r="H33" s="10">
        <f t="shared" si="5"/>
        <v>384.68779986222125</v>
      </c>
      <c r="I33" s="10">
        <f t="shared" si="5"/>
        <v>396.11821290192222</v>
      </c>
      <c r="J33" s="10">
        <f t="shared" si="5"/>
        <v>408.40304931634091</v>
      </c>
      <c r="K33" s="10">
        <f t="shared" si="5"/>
        <v>421.60617725273738</v>
      </c>
      <c r="L33" s="10">
        <f t="shared" si="5"/>
        <v>435.79623900237948</v>
      </c>
      <c r="M33" s="10">
        <f t="shared" si="5"/>
        <v>451.04700786780728</v>
      </c>
      <c r="N33" s="10">
        <f t="shared" si="5"/>
        <v>257.4377717059258</v>
      </c>
      <c r="O33" s="10">
        <f t="shared" si="5"/>
        <v>259.35624514094377</v>
      </c>
      <c r="P33" s="10">
        <f t="shared" si="5"/>
        <v>261.41812446522931</v>
      </c>
      <c r="Q33" s="10">
        <f t="shared" si="5"/>
        <v>263.6341292690052</v>
      </c>
      <c r="R33" s="10">
        <f t="shared" si="5"/>
        <v>266.01578043186333</v>
      </c>
      <c r="S33" s="10">
        <f t="shared" si="5"/>
        <v>268.57546001914511</v>
      </c>
      <c r="T33" s="10">
        <f t="shared" si="5"/>
        <v>271.32647565557619</v>
      </c>
      <c r="U33" s="10">
        <f t="shared" si="5"/>
        <v>274.28312971083051</v>
      </c>
      <c r="V33" s="10">
        <f t="shared" si="5"/>
        <v>277.46079365671511</v>
      </c>
      <c r="W33" s="10">
        <f t="shared" si="5"/>
        <v>70.875987982554548</v>
      </c>
      <c r="X33" s="10">
        <f t="shared" si="5"/>
        <v>58.848968084250487</v>
      </c>
      <c r="Y33" s="10">
        <f t="shared" si="5"/>
        <v>45.922928448548213</v>
      </c>
      <c r="Z33" s="10">
        <f t="shared" si="5"/>
        <v>32.030667350077188</v>
      </c>
      <c r="AA33" s="10">
        <f t="shared" si="5"/>
        <v>17.099959734495457</v>
      </c>
      <c r="AB33" s="10">
        <f t="shared" si="5"/>
        <v>1.0531817246489907</v>
      </c>
      <c r="AC33" s="10">
        <f t="shared" si="5"/>
        <v>0</v>
      </c>
      <c r="AD33" s="10">
        <f t="shared" si="5"/>
        <v>0</v>
      </c>
      <c r="AE33" s="10">
        <f t="shared" si="5"/>
        <v>1.6569070585665029</v>
      </c>
      <c r="AF33" s="10">
        <f t="shared" si="5"/>
        <v>1.7807608611943486</v>
      </c>
      <c r="AG33" s="10">
        <f t="shared" si="5"/>
        <v>1.9138727355686265</v>
      </c>
      <c r="AH33" s="10">
        <f t="shared" si="5"/>
        <v>2.0569347225523806</v>
      </c>
      <c r="AI33" s="10">
        <f t="shared" si="5"/>
        <v>2.2106905930631715</v>
      </c>
    </row>
    <row r="34" spans="2:35" x14ac:dyDescent="0.25">
      <c r="B34" t="s">
        <v>6</v>
      </c>
      <c r="D34" s="10">
        <f>IF((D31-D33)&lt;0,0,(D31-D33))</f>
        <v>3346.8750000000005</v>
      </c>
      <c r="E34" s="10">
        <f t="shared" ref="E34:AI34" si="6">IF((E31-E33)&lt;0,0,(E31-E33))</f>
        <v>2011.37890625</v>
      </c>
      <c r="F34" s="10">
        <f t="shared" si="6"/>
        <v>2063.5544794921875</v>
      </c>
      <c r="G34" s="10">
        <f t="shared" si="6"/>
        <v>2119.6301768342287</v>
      </c>
      <c r="H34" s="10">
        <f t="shared" si="6"/>
        <v>2179.8975325525871</v>
      </c>
      <c r="I34" s="10">
        <f t="shared" si="6"/>
        <v>2244.6698731108927</v>
      </c>
      <c r="J34" s="10">
        <f t="shared" si="6"/>
        <v>2314.2839461259318</v>
      </c>
      <c r="K34" s="10">
        <f t="shared" si="6"/>
        <v>2389.1016710988451</v>
      </c>
      <c r="L34" s="10">
        <f t="shared" si="6"/>
        <v>2469.5120210134837</v>
      </c>
      <c r="M34" s="10">
        <f t="shared" si="6"/>
        <v>2555.9330445842415</v>
      </c>
      <c r="N34" s="10">
        <f t="shared" si="6"/>
        <v>1458.814039666913</v>
      </c>
      <c r="O34" s="10">
        <f t="shared" si="6"/>
        <v>1469.6853891320147</v>
      </c>
      <c r="P34" s="10">
        <f t="shared" si="6"/>
        <v>1481.369371969633</v>
      </c>
      <c r="Q34" s="10">
        <f t="shared" si="6"/>
        <v>1493.9267325243629</v>
      </c>
      <c r="R34" s="10">
        <f t="shared" si="6"/>
        <v>1507.4227557805591</v>
      </c>
      <c r="S34" s="10">
        <f t="shared" si="6"/>
        <v>1521.9276067751557</v>
      </c>
      <c r="T34" s="10">
        <f t="shared" si="6"/>
        <v>1537.5166953815985</v>
      </c>
      <c r="U34" s="10">
        <f t="shared" si="6"/>
        <v>1554.271068361373</v>
      </c>
      <c r="V34" s="10">
        <f t="shared" si="6"/>
        <v>1572.2778307213855</v>
      </c>
      <c r="W34" s="10">
        <f t="shared" si="6"/>
        <v>401.6305985678091</v>
      </c>
      <c r="X34" s="10">
        <f t="shared" si="6"/>
        <v>333.4774858107528</v>
      </c>
      <c r="Y34" s="10">
        <f t="shared" si="6"/>
        <v>260.22992787510657</v>
      </c>
      <c r="Z34" s="10">
        <f t="shared" si="6"/>
        <v>181.50711498377075</v>
      </c>
      <c r="AA34" s="10">
        <f t="shared" si="6"/>
        <v>96.899771828807587</v>
      </c>
      <c r="AB34" s="10">
        <f t="shared" si="6"/>
        <v>5.9680297730109473</v>
      </c>
      <c r="AC34" s="10">
        <f t="shared" si="6"/>
        <v>0</v>
      </c>
      <c r="AD34" s="10">
        <f t="shared" si="6"/>
        <v>0</v>
      </c>
      <c r="AE34" s="10">
        <f t="shared" si="6"/>
        <v>9.3891399985435164</v>
      </c>
      <c r="AF34" s="10">
        <f t="shared" si="6"/>
        <v>10.090978213434642</v>
      </c>
      <c r="AG34" s="10">
        <f t="shared" si="6"/>
        <v>10.845278834888884</v>
      </c>
      <c r="AH34" s="10">
        <f t="shared" si="6"/>
        <v>11.655963427796825</v>
      </c>
      <c r="AI34" s="10">
        <f t="shared" si="6"/>
        <v>12.52724669402464</v>
      </c>
    </row>
    <row r="35" spans="2:35" x14ac:dyDescent="0.25">
      <c r="D35" s="11"/>
    </row>
    <row r="36" spans="2:35" x14ac:dyDescent="0.25">
      <c r="B36" t="s">
        <v>7</v>
      </c>
      <c r="D36" s="9">
        <f>C21</f>
        <v>4.4999999999999998E-2</v>
      </c>
      <c r="E36" s="1">
        <f>D36</f>
        <v>4.4999999999999998E-2</v>
      </c>
      <c r="F36" s="1">
        <f t="shared" ref="F36:AI36" si="7">E36</f>
        <v>4.4999999999999998E-2</v>
      </c>
      <c r="G36" s="1">
        <f t="shared" si="7"/>
        <v>4.4999999999999998E-2</v>
      </c>
      <c r="H36" s="1">
        <f t="shared" si="7"/>
        <v>4.4999999999999998E-2</v>
      </c>
      <c r="I36" s="1">
        <f t="shared" si="7"/>
        <v>4.4999999999999998E-2</v>
      </c>
      <c r="J36" s="1">
        <f t="shared" si="7"/>
        <v>4.4999999999999998E-2</v>
      </c>
      <c r="K36" s="1">
        <f t="shared" si="7"/>
        <v>4.4999999999999998E-2</v>
      </c>
      <c r="L36" s="1">
        <f t="shared" si="7"/>
        <v>4.4999999999999998E-2</v>
      </c>
      <c r="M36" s="1">
        <f t="shared" si="7"/>
        <v>4.4999999999999998E-2</v>
      </c>
      <c r="N36" s="1">
        <f t="shared" si="7"/>
        <v>4.4999999999999998E-2</v>
      </c>
      <c r="O36" s="1">
        <f t="shared" si="7"/>
        <v>4.4999999999999998E-2</v>
      </c>
      <c r="P36" s="1">
        <f t="shared" si="7"/>
        <v>4.4999999999999998E-2</v>
      </c>
      <c r="Q36" s="1">
        <f t="shared" si="7"/>
        <v>4.4999999999999998E-2</v>
      </c>
      <c r="R36" s="1">
        <f t="shared" si="7"/>
        <v>4.4999999999999998E-2</v>
      </c>
      <c r="S36" s="1">
        <f t="shared" si="7"/>
        <v>4.4999999999999998E-2</v>
      </c>
      <c r="T36" s="1">
        <f t="shared" si="7"/>
        <v>4.4999999999999998E-2</v>
      </c>
      <c r="U36" s="1">
        <f t="shared" si="7"/>
        <v>4.4999999999999998E-2</v>
      </c>
      <c r="V36" s="1">
        <f t="shared" si="7"/>
        <v>4.4999999999999998E-2</v>
      </c>
      <c r="W36" s="1">
        <f t="shared" si="7"/>
        <v>4.4999999999999998E-2</v>
      </c>
      <c r="X36" s="1">
        <f t="shared" si="7"/>
        <v>4.4999999999999998E-2</v>
      </c>
      <c r="Y36" s="1">
        <f t="shared" si="7"/>
        <v>4.4999999999999998E-2</v>
      </c>
      <c r="Z36" s="1">
        <f t="shared" si="7"/>
        <v>4.4999999999999998E-2</v>
      </c>
      <c r="AA36" s="1">
        <f t="shared" si="7"/>
        <v>4.4999999999999998E-2</v>
      </c>
      <c r="AB36" s="1">
        <f t="shared" si="7"/>
        <v>4.4999999999999998E-2</v>
      </c>
      <c r="AC36" s="1">
        <f t="shared" si="7"/>
        <v>4.4999999999999998E-2</v>
      </c>
      <c r="AD36" s="1">
        <f t="shared" si="7"/>
        <v>4.4999999999999998E-2</v>
      </c>
      <c r="AE36" s="1">
        <f t="shared" si="7"/>
        <v>4.4999999999999998E-2</v>
      </c>
      <c r="AF36" s="1">
        <f t="shared" si="7"/>
        <v>4.4999999999999998E-2</v>
      </c>
      <c r="AG36" s="1">
        <f t="shared" si="7"/>
        <v>4.4999999999999998E-2</v>
      </c>
      <c r="AH36" s="1">
        <f t="shared" si="7"/>
        <v>4.4999999999999998E-2</v>
      </c>
      <c r="AI36" s="1">
        <f t="shared" si="7"/>
        <v>4.4999999999999998E-2</v>
      </c>
    </row>
    <row r="37" spans="2:35" x14ac:dyDescent="0.25">
      <c r="B37" t="s">
        <v>8</v>
      </c>
      <c r="D37" s="10">
        <f>IF((D36*D29)&lt;0,0,(D36*D29))</f>
        <v>5062.5</v>
      </c>
      <c r="E37" s="10">
        <f t="shared" ref="E37:AI37" si="8">IF((E36*E29)&lt;0,0,(E36*E29))</f>
        <v>3042.421875</v>
      </c>
      <c r="F37" s="10">
        <f t="shared" si="8"/>
        <v>3121.3429101562497</v>
      </c>
      <c r="G37" s="10">
        <f t="shared" si="8"/>
        <v>3206.1632926904294</v>
      </c>
      <c r="H37" s="10">
        <f t="shared" si="8"/>
        <v>3297.3239988190389</v>
      </c>
      <c r="I37" s="10">
        <f t="shared" si="8"/>
        <v>3395.2989677307614</v>
      </c>
      <c r="J37" s="10">
        <f t="shared" si="8"/>
        <v>3500.5975655686361</v>
      </c>
      <c r="K37" s="10">
        <f t="shared" si="8"/>
        <v>3613.7672335948914</v>
      </c>
      <c r="L37" s="10">
        <f t="shared" si="8"/>
        <v>3735.3963343061096</v>
      </c>
      <c r="M37" s="10">
        <f t="shared" si="8"/>
        <v>3866.1172102954906</v>
      </c>
      <c r="N37" s="10">
        <f t="shared" si="8"/>
        <v>2206.6094717650781</v>
      </c>
      <c r="O37" s="10">
        <f t="shared" si="8"/>
        <v>2223.0535297795177</v>
      </c>
      <c r="P37" s="10">
        <f t="shared" si="8"/>
        <v>2240.7267811305369</v>
      </c>
      <c r="Q37" s="10">
        <f t="shared" si="8"/>
        <v>2259.7211080200445</v>
      </c>
      <c r="R37" s="10">
        <f t="shared" si="8"/>
        <v>2280.1352608445427</v>
      </c>
      <c r="S37" s="10">
        <f t="shared" si="8"/>
        <v>2302.0753715926721</v>
      </c>
      <c r="T37" s="10">
        <f t="shared" si="8"/>
        <v>2325.6555056192242</v>
      </c>
      <c r="U37" s="10">
        <f t="shared" si="8"/>
        <v>2350.9982546642614</v>
      </c>
      <c r="V37" s="10">
        <f t="shared" si="8"/>
        <v>2378.2353742004148</v>
      </c>
      <c r="W37" s="10">
        <f t="shared" si="8"/>
        <v>607.50846842189605</v>
      </c>
      <c r="X37" s="10">
        <f t="shared" si="8"/>
        <v>504.41972643643277</v>
      </c>
      <c r="Y37" s="10">
        <f t="shared" si="8"/>
        <v>393.62510098755604</v>
      </c>
      <c r="Z37" s="10">
        <f t="shared" si="8"/>
        <v>274.54857728637586</v>
      </c>
      <c r="AA37" s="10">
        <f t="shared" si="8"/>
        <v>146.57108343853247</v>
      </c>
      <c r="AB37" s="10">
        <f t="shared" si="8"/>
        <v>9.0272719255627774</v>
      </c>
      <c r="AC37" s="10">
        <f t="shared" si="8"/>
        <v>0</v>
      </c>
      <c r="AD37" s="10">
        <f t="shared" si="8"/>
        <v>0</v>
      </c>
      <c r="AE37" s="10">
        <f t="shared" si="8"/>
        <v>14.202060501998593</v>
      </c>
      <c r="AF37" s="10">
        <f t="shared" si="8"/>
        <v>15.263664524522987</v>
      </c>
      <c r="AG37" s="10">
        <f t="shared" si="8"/>
        <v>16.40462344773108</v>
      </c>
      <c r="AH37" s="10">
        <f t="shared" si="8"/>
        <v>17.630869050448979</v>
      </c>
      <c r="AI37" s="10">
        <f t="shared" si="8"/>
        <v>18.948776511970042</v>
      </c>
    </row>
    <row r="38" spans="2:35" x14ac:dyDescent="0.25">
      <c r="D38" s="11"/>
    </row>
    <row r="39" spans="2:35" x14ac:dyDescent="0.25">
      <c r="B39" t="s">
        <v>9</v>
      </c>
      <c r="D39" s="10">
        <f>D29+D34+D37</f>
        <v>120909.375</v>
      </c>
      <c r="E39" s="3">
        <f t="shared" ref="E39:AI39" si="9">E29+E34+E37</f>
        <v>72663.17578125</v>
      </c>
      <c r="F39" s="3">
        <f t="shared" si="9"/>
        <v>74548.073170898439</v>
      </c>
      <c r="G39" s="3">
        <f t="shared" si="9"/>
        <v>76573.86664042309</v>
      </c>
      <c r="H39" s="3">
        <f t="shared" si="9"/>
        <v>78751.088171794705</v>
      </c>
      <c r="I39" s="3">
        <f t="shared" si="9"/>
        <v>81091.05701263636</v>
      </c>
      <c r="J39" s="3">
        <f t="shared" si="9"/>
        <v>83605.938524330923</v>
      </c>
      <c r="K39" s="3">
        <f t="shared" si="9"/>
        <v>86308.807429024659</v>
      </c>
      <c r="L39" s="3">
        <f t="shared" si="9"/>
        <v>89213.71578434424</v>
      </c>
      <c r="M39" s="3">
        <f t="shared" si="9"/>
        <v>92335.766039223963</v>
      </c>
      <c r="N39" s="3">
        <f t="shared" si="9"/>
        <v>52701.189550655952</v>
      </c>
      <c r="O39" s="3">
        <f t="shared" si="9"/>
        <v>53093.928469567487</v>
      </c>
      <c r="P39" s="3">
        <f t="shared" si="9"/>
        <v>53516.024622667654</v>
      </c>
      <c r="Q39" s="3">
        <f t="shared" si="9"/>
        <v>53969.67246321206</v>
      </c>
      <c r="R39" s="3">
        <f t="shared" si="9"/>
        <v>54457.230479837162</v>
      </c>
      <c r="S39" s="3">
        <f t="shared" si="9"/>
        <v>54981.233458204988</v>
      </c>
      <c r="T39" s="3">
        <f t="shared" si="9"/>
        <v>55544.405659205811</v>
      </c>
      <c r="U39" s="3">
        <f t="shared" si="9"/>
        <v>56149.674982231445</v>
      </c>
      <c r="V39" s="3">
        <f t="shared" si="9"/>
        <v>56800.188187153246</v>
      </c>
      <c r="W39" s="3">
        <f t="shared" si="9"/>
        <v>14509.327254142951</v>
      </c>
      <c r="X39" s="3">
        <f t="shared" si="9"/>
        <v>12047.224466390135</v>
      </c>
      <c r="Y39" s="3">
        <f t="shared" si="9"/>
        <v>9401.0794952527976</v>
      </c>
      <c r="Z39" s="3">
        <f t="shared" si="9"/>
        <v>6557.1351875229439</v>
      </c>
      <c r="AA39" s="3">
        <f t="shared" si="9"/>
        <v>3500.6060427902839</v>
      </c>
      <c r="AB39" s="3">
        <f t="shared" si="9"/>
        <v>215.60134448885768</v>
      </c>
      <c r="AC39" s="3">
        <f t="shared" si="9"/>
        <v>-3084.3986555111424</v>
      </c>
      <c r="AD39" s="3">
        <f t="shared" si="9"/>
        <v>-6384.3986555111424</v>
      </c>
      <c r="AE39" s="3">
        <f t="shared" si="9"/>
        <v>339.19254498939972</v>
      </c>
      <c r="AF39" s="3">
        <f t="shared" si="9"/>
        <v>364.54718772735737</v>
      </c>
      <c r="AG39" s="3">
        <f t="shared" si="9"/>
        <v>391.7970900099773</v>
      </c>
      <c r="AH39" s="3">
        <f t="shared" si="9"/>
        <v>421.08392248822315</v>
      </c>
      <c r="AI39" s="3">
        <f t="shared" si="9"/>
        <v>452.55994569421784</v>
      </c>
    </row>
    <row r="40" spans="2:35" x14ac:dyDescent="0.25">
      <c r="D40" s="11"/>
    </row>
    <row r="41" spans="2:35" x14ac:dyDescent="0.25">
      <c r="B41" t="s">
        <v>42</v>
      </c>
      <c r="C41" s="2"/>
      <c r="D41" s="12">
        <v>50000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50000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50000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2:35" x14ac:dyDescent="0.25">
      <c r="B42" t="s">
        <v>43</v>
      </c>
      <c r="C42" s="2"/>
      <c r="D42" s="12">
        <v>0</v>
      </c>
      <c r="E42" s="2"/>
      <c r="F42" s="2"/>
      <c r="G42" s="2"/>
      <c r="H42" s="2"/>
      <c r="I42" s="2"/>
      <c r="J42" s="2"/>
      <c r="K42" s="2"/>
      <c r="L42" s="2"/>
      <c r="M42" s="2">
        <v>10000</v>
      </c>
      <c r="N42" s="2"/>
      <c r="O42" s="2"/>
      <c r="P42" s="2"/>
      <c r="Q42" s="2"/>
      <c r="R42" s="2"/>
      <c r="S42" s="2"/>
      <c r="T42" s="2"/>
      <c r="U42" s="2"/>
      <c r="V42" s="2">
        <v>10000</v>
      </c>
      <c r="W42" s="2"/>
      <c r="X42" s="2"/>
      <c r="Y42" s="2"/>
      <c r="Z42" s="2"/>
      <c r="AA42" s="2"/>
      <c r="AB42" s="2"/>
      <c r="AC42" s="2">
        <v>0</v>
      </c>
      <c r="AD42" s="2">
        <v>10000</v>
      </c>
      <c r="AE42" s="2"/>
      <c r="AF42" s="2"/>
      <c r="AG42" s="2"/>
      <c r="AH42" s="2"/>
      <c r="AI42" s="2"/>
    </row>
    <row r="43" spans="2:35" x14ac:dyDescent="0.25">
      <c r="B43" t="s">
        <v>44</v>
      </c>
      <c r="C43" s="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25">
      <c r="B44" t="s">
        <v>45</v>
      </c>
      <c r="C44" s="2">
        <v>500</v>
      </c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25">
      <c r="B45" t="s">
        <v>46</v>
      </c>
      <c r="C45" s="2">
        <v>1200</v>
      </c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25">
      <c r="B46" t="s">
        <v>47</v>
      </c>
      <c r="C46" s="2">
        <v>1000</v>
      </c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25">
      <c r="B47" t="s">
        <v>48</v>
      </c>
      <c r="C47" s="2">
        <v>600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25">
      <c r="B48" t="s">
        <v>49</v>
      </c>
      <c r="C48" s="2">
        <f>SUM(C44:C47)</f>
        <v>3300</v>
      </c>
      <c r="D48" s="12">
        <f>IF(D23&lt;$C$6,C48,0)</f>
        <v>3300</v>
      </c>
      <c r="E48" s="12">
        <f t="shared" ref="E48:AI48" si="10">IF(E23&lt;$C$6,D48,0)</f>
        <v>3300</v>
      </c>
      <c r="F48" s="12">
        <f t="shared" si="10"/>
        <v>3300</v>
      </c>
      <c r="G48" s="12">
        <f t="shared" si="10"/>
        <v>3300</v>
      </c>
      <c r="H48" s="12">
        <f t="shared" si="10"/>
        <v>3300</v>
      </c>
      <c r="I48" s="12">
        <f t="shared" si="10"/>
        <v>3300</v>
      </c>
      <c r="J48" s="12">
        <f t="shared" si="10"/>
        <v>3300</v>
      </c>
      <c r="K48" s="12">
        <f t="shared" si="10"/>
        <v>3300</v>
      </c>
      <c r="L48" s="12">
        <f t="shared" si="10"/>
        <v>3300</v>
      </c>
      <c r="M48" s="12">
        <f t="shared" si="10"/>
        <v>3300</v>
      </c>
      <c r="N48" s="12">
        <f t="shared" si="10"/>
        <v>3300</v>
      </c>
      <c r="O48" s="12">
        <f t="shared" si="10"/>
        <v>3300</v>
      </c>
      <c r="P48" s="12">
        <f t="shared" si="10"/>
        <v>3300</v>
      </c>
      <c r="Q48" s="12">
        <f t="shared" si="10"/>
        <v>3300</v>
      </c>
      <c r="R48" s="12">
        <f t="shared" si="10"/>
        <v>3300</v>
      </c>
      <c r="S48" s="12">
        <f t="shared" si="10"/>
        <v>3300</v>
      </c>
      <c r="T48" s="12">
        <f t="shared" si="10"/>
        <v>3300</v>
      </c>
      <c r="U48" s="12">
        <f t="shared" si="10"/>
        <v>3300</v>
      </c>
      <c r="V48" s="12">
        <f t="shared" si="10"/>
        <v>3300</v>
      </c>
      <c r="W48" s="12">
        <f t="shared" si="10"/>
        <v>3300</v>
      </c>
      <c r="X48" s="12">
        <f t="shared" si="10"/>
        <v>3300</v>
      </c>
      <c r="Y48" s="12">
        <f t="shared" si="10"/>
        <v>3300</v>
      </c>
      <c r="Z48" s="12">
        <f t="shared" si="10"/>
        <v>3300</v>
      </c>
      <c r="AA48" s="12">
        <f t="shared" si="10"/>
        <v>3300</v>
      </c>
      <c r="AB48" s="12">
        <f t="shared" si="10"/>
        <v>3300</v>
      </c>
      <c r="AC48" s="12">
        <f t="shared" si="10"/>
        <v>3300</v>
      </c>
      <c r="AD48" s="12">
        <f t="shared" si="10"/>
        <v>3300</v>
      </c>
      <c r="AE48" s="12">
        <f t="shared" si="10"/>
        <v>0</v>
      </c>
      <c r="AF48" s="12">
        <f t="shared" si="10"/>
        <v>0</v>
      </c>
      <c r="AG48" s="12">
        <f t="shared" si="10"/>
        <v>0</v>
      </c>
      <c r="AH48" s="12">
        <f t="shared" si="10"/>
        <v>0</v>
      </c>
      <c r="AI48" s="12">
        <f t="shared" si="10"/>
        <v>0</v>
      </c>
    </row>
    <row r="49" spans="2:36" x14ac:dyDescent="0.25"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6" x14ac:dyDescent="0.25">
      <c r="B50" t="s">
        <v>16</v>
      </c>
      <c r="C50" s="2"/>
      <c r="D50" s="6">
        <f>D41-D42+D48</f>
        <v>53300</v>
      </c>
      <c r="E50" s="6">
        <f t="shared" ref="E50:AI50" si="11">E41-E42+E48</f>
        <v>3300</v>
      </c>
      <c r="F50" s="6">
        <f t="shared" si="11"/>
        <v>3300</v>
      </c>
      <c r="G50" s="6">
        <f t="shared" si="11"/>
        <v>3300</v>
      </c>
      <c r="H50" s="6">
        <f t="shared" si="11"/>
        <v>3300</v>
      </c>
      <c r="I50" s="6">
        <f t="shared" si="11"/>
        <v>3300</v>
      </c>
      <c r="J50" s="6">
        <f t="shared" si="11"/>
        <v>3300</v>
      </c>
      <c r="K50" s="6">
        <f t="shared" si="11"/>
        <v>3300</v>
      </c>
      <c r="L50" s="6">
        <f t="shared" si="11"/>
        <v>3300</v>
      </c>
      <c r="M50" s="6">
        <f t="shared" si="11"/>
        <v>43300</v>
      </c>
      <c r="N50" s="6">
        <f t="shared" si="11"/>
        <v>3300</v>
      </c>
      <c r="O50" s="6">
        <f t="shared" si="11"/>
        <v>3300</v>
      </c>
      <c r="P50" s="6">
        <f t="shared" si="11"/>
        <v>3300</v>
      </c>
      <c r="Q50" s="6">
        <f t="shared" si="11"/>
        <v>3300</v>
      </c>
      <c r="R50" s="6">
        <f t="shared" si="11"/>
        <v>3300</v>
      </c>
      <c r="S50" s="6">
        <f t="shared" si="11"/>
        <v>3300</v>
      </c>
      <c r="T50" s="6">
        <f t="shared" si="11"/>
        <v>3300</v>
      </c>
      <c r="U50" s="6">
        <f t="shared" si="11"/>
        <v>3300</v>
      </c>
      <c r="V50" s="6">
        <f t="shared" si="11"/>
        <v>43300</v>
      </c>
      <c r="W50" s="6">
        <f t="shared" si="11"/>
        <v>3300</v>
      </c>
      <c r="X50" s="6">
        <f t="shared" si="11"/>
        <v>3300</v>
      </c>
      <c r="Y50" s="6">
        <f t="shared" si="11"/>
        <v>3300</v>
      </c>
      <c r="Z50" s="6">
        <f t="shared" si="11"/>
        <v>3300</v>
      </c>
      <c r="AA50" s="6">
        <f t="shared" si="11"/>
        <v>3300</v>
      </c>
      <c r="AB50" s="6">
        <f t="shared" si="11"/>
        <v>3300</v>
      </c>
      <c r="AC50" s="6">
        <f t="shared" si="11"/>
        <v>3300</v>
      </c>
      <c r="AD50" s="6">
        <f t="shared" si="11"/>
        <v>-6700</v>
      </c>
      <c r="AE50" s="6">
        <f t="shared" si="11"/>
        <v>0</v>
      </c>
      <c r="AF50" s="6">
        <f t="shared" si="11"/>
        <v>0</v>
      </c>
      <c r="AG50" s="6">
        <f t="shared" si="11"/>
        <v>0</v>
      </c>
      <c r="AH50" s="6">
        <f t="shared" si="11"/>
        <v>0</v>
      </c>
      <c r="AI50" s="6">
        <f t="shared" si="11"/>
        <v>0</v>
      </c>
    </row>
    <row r="51" spans="2:36" x14ac:dyDescent="0.25">
      <c r="B51" t="s">
        <v>11</v>
      </c>
      <c r="D51" s="9">
        <f>C16</f>
        <v>0.03</v>
      </c>
      <c r="E51" s="1">
        <f>D51</f>
        <v>0.03</v>
      </c>
      <c r="F51" s="1">
        <f t="shared" ref="F51:AI51" si="12">E51</f>
        <v>0.03</v>
      </c>
      <c r="G51" s="1">
        <f t="shared" si="12"/>
        <v>0.03</v>
      </c>
      <c r="H51" s="1">
        <f t="shared" si="12"/>
        <v>0.03</v>
      </c>
      <c r="I51" s="1">
        <f t="shared" si="12"/>
        <v>0.03</v>
      </c>
      <c r="J51" s="1">
        <f t="shared" si="12"/>
        <v>0.03</v>
      </c>
      <c r="K51" s="1">
        <f t="shared" si="12"/>
        <v>0.03</v>
      </c>
      <c r="L51" s="1">
        <f t="shared" si="12"/>
        <v>0.03</v>
      </c>
      <c r="M51" s="1">
        <f t="shared" si="12"/>
        <v>0.03</v>
      </c>
      <c r="N51" s="1">
        <f t="shared" si="12"/>
        <v>0.03</v>
      </c>
      <c r="O51" s="1">
        <f t="shared" si="12"/>
        <v>0.03</v>
      </c>
      <c r="P51" s="1">
        <f t="shared" si="12"/>
        <v>0.03</v>
      </c>
      <c r="Q51" s="1">
        <f t="shared" si="12"/>
        <v>0.03</v>
      </c>
      <c r="R51" s="1">
        <f t="shared" si="12"/>
        <v>0.03</v>
      </c>
      <c r="S51" s="1">
        <f t="shared" si="12"/>
        <v>0.03</v>
      </c>
      <c r="T51" s="1">
        <f t="shared" si="12"/>
        <v>0.03</v>
      </c>
      <c r="U51" s="1">
        <f t="shared" si="12"/>
        <v>0.03</v>
      </c>
      <c r="V51" s="1">
        <f t="shared" si="12"/>
        <v>0.03</v>
      </c>
      <c r="W51" s="1">
        <f t="shared" si="12"/>
        <v>0.03</v>
      </c>
      <c r="X51" s="1">
        <f t="shared" si="12"/>
        <v>0.03</v>
      </c>
      <c r="Y51" s="1">
        <f t="shared" si="12"/>
        <v>0.03</v>
      </c>
      <c r="Z51" s="1">
        <f t="shared" si="12"/>
        <v>0.03</v>
      </c>
      <c r="AA51" s="1">
        <f t="shared" si="12"/>
        <v>0.03</v>
      </c>
      <c r="AB51" s="1">
        <f t="shared" si="12"/>
        <v>0.03</v>
      </c>
      <c r="AC51" s="1">
        <f t="shared" si="12"/>
        <v>0.03</v>
      </c>
      <c r="AD51" s="1">
        <f t="shared" si="12"/>
        <v>0.03</v>
      </c>
      <c r="AE51" s="1">
        <f t="shared" si="12"/>
        <v>0.03</v>
      </c>
      <c r="AF51" s="1">
        <f t="shared" si="12"/>
        <v>0.03</v>
      </c>
      <c r="AG51" s="1">
        <f t="shared" si="12"/>
        <v>0.03</v>
      </c>
      <c r="AH51" s="1">
        <f t="shared" si="12"/>
        <v>0.03</v>
      </c>
      <c r="AI51" s="1">
        <f t="shared" si="12"/>
        <v>0.03</v>
      </c>
    </row>
    <row r="52" spans="2:36" x14ac:dyDescent="0.25">
      <c r="B52" s="11"/>
      <c r="C52" s="1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2:36" x14ac:dyDescent="0.25">
      <c r="B53" s="11" t="s">
        <v>14</v>
      </c>
      <c r="C53" s="11"/>
      <c r="D53" s="9">
        <f>C15</f>
        <v>1.0999999999999999E-2</v>
      </c>
      <c r="E53" s="1">
        <f>D53</f>
        <v>1.0999999999999999E-2</v>
      </c>
      <c r="F53" s="1">
        <f t="shared" ref="F53:AI53" si="13">E53</f>
        <v>1.0999999999999999E-2</v>
      </c>
      <c r="G53" s="1">
        <f t="shared" si="13"/>
        <v>1.0999999999999999E-2</v>
      </c>
      <c r="H53" s="1">
        <f t="shared" si="13"/>
        <v>1.0999999999999999E-2</v>
      </c>
      <c r="I53" s="1">
        <f t="shared" si="13"/>
        <v>1.0999999999999999E-2</v>
      </c>
      <c r="J53" s="1">
        <f t="shared" si="13"/>
        <v>1.0999999999999999E-2</v>
      </c>
      <c r="K53" s="1">
        <f t="shared" si="13"/>
        <v>1.0999999999999999E-2</v>
      </c>
      <c r="L53" s="1">
        <f t="shared" si="13"/>
        <v>1.0999999999999999E-2</v>
      </c>
      <c r="M53" s="1">
        <f t="shared" si="13"/>
        <v>1.0999999999999999E-2</v>
      </c>
      <c r="N53" s="1">
        <f t="shared" si="13"/>
        <v>1.0999999999999999E-2</v>
      </c>
      <c r="O53" s="1">
        <f t="shared" si="13"/>
        <v>1.0999999999999999E-2</v>
      </c>
      <c r="P53" s="1">
        <f t="shared" si="13"/>
        <v>1.0999999999999999E-2</v>
      </c>
      <c r="Q53" s="1">
        <f t="shared" si="13"/>
        <v>1.0999999999999999E-2</v>
      </c>
      <c r="R53" s="1">
        <f t="shared" si="13"/>
        <v>1.0999999999999999E-2</v>
      </c>
      <c r="S53" s="1">
        <f t="shared" si="13"/>
        <v>1.0999999999999999E-2</v>
      </c>
      <c r="T53" s="1">
        <f t="shared" si="13"/>
        <v>1.0999999999999999E-2</v>
      </c>
      <c r="U53" s="1">
        <f t="shared" si="13"/>
        <v>1.0999999999999999E-2</v>
      </c>
      <c r="V53" s="1">
        <f t="shared" si="13"/>
        <v>1.0999999999999999E-2</v>
      </c>
      <c r="W53" s="1">
        <f t="shared" si="13"/>
        <v>1.0999999999999999E-2</v>
      </c>
      <c r="X53" s="1">
        <f t="shared" si="13"/>
        <v>1.0999999999999999E-2</v>
      </c>
      <c r="Y53" s="1">
        <f t="shared" si="13"/>
        <v>1.0999999999999999E-2</v>
      </c>
      <c r="Z53" s="1">
        <f t="shared" si="13"/>
        <v>1.0999999999999999E-2</v>
      </c>
      <c r="AA53" s="1">
        <f t="shared" si="13"/>
        <v>1.0999999999999999E-2</v>
      </c>
      <c r="AB53" s="1">
        <f t="shared" si="13"/>
        <v>1.0999999999999999E-2</v>
      </c>
      <c r="AC53" s="1">
        <f t="shared" si="13"/>
        <v>1.0999999999999999E-2</v>
      </c>
      <c r="AD53" s="1">
        <f t="shared" si="13"/>
        <v>1.0999999999999999E-2</v>
      </c>
      <c r="AE53" s="1">
        <f t="shared" si="13"/>
        <v>1.0999999999999999E-2</v>
      </c>
      <c r="AF53" s="1">
        <f t="shared" si="13"/>
        <v>1.0999999999999999E-2</v>
      </c>
      <c r="AG53" s="1">
        <f t="shared" si="13"/>
        <v>1.0999999999999999E-2</v>
      </c>
      <c r="AH53" s="1">
        <f t="shared" si="13"/>
        <v>1.0999999999999999E-2</v>
      </c>
      <c r="AI53" s="1">
        <f t="shared" si="13"/>
        <v>1.0999999999999999E-2</v>
      </c>
    </row>
    <row r="54" spans="2:36" x14ac:dyDescent="0.25">
      <c r="B54" s="11" t="s">
        <v>15</v>
      </c>
      <c r="D54" s="2">
        <f>IF((D53*D29)&lt;0,0,(D53*D29))</f>
        <v>1237.5</v>
      </c>
      <c r="E54" s="2">
        <f t="shared" ref="E54:AI54" si="14">IF((E53*E29)&lt;0,0,(E53*E29))</f>
        <v>743.703125</v>
      </c>
      <c r="F54" s="2">
        <f t="shared" si="14"/>
        <v>762.99493359374992</v>
      </c>
      <c r="G54" s="2">
        <f t="shared" si="14"/>
        <v>783.72880487988277</v>
      </c>
      <c r="H54" s="2">
        <f t="shared" si="14"/>
        <v>806.01253304465399</v>
      </c>
      <c r="I54" s="2">
        <f t="shared" si="14"/>
        <v>829.96196988974168</v>
      </c>
      <c r="J54" s="2">
        <f t="shared" si="14"/>
        <v>855.70162713899992</v>
      </c>
      <c r="K54" s="2">
        <f t="shared" si="14"/>
        <v>883.36532376764012</v>
      </c>
      <c r="L54" s="2">
        <f t="shared" si="14"/>
        <v>913.09688171927121</v>
      </c>
      <c r="M54" s="2">
        <f t="shared" si="14"/>
        <v>945.05087362778659</v>
      </c>
      <c r="N54" s="2">
        <f t="shared" si="14"/>
        <v>539.39342643146358</v>
      </c>
      <c r="O54" s="2">
        <f t="shared" si="14"/>
        <v>543.41308505721543</v>
      </c>
      <c r="P54" s="2">
        <f t="shared" si="14"/>
        <v>547.73321316524232</v>
      </c>
      <c r="Q54" s="2">
        <f t="shared" si="14"/>
        <v>552.37627084934411</v>
      </c>
      <c r="R54" s="2">
        <f t="shared" si="14"/>
        <v>557.36639709533267</v>
      </c>
      <c r="S54" s="2">
        <f t="shared" si="14"/>
        <v>562.7295352782088</v>
      </c>
      <c r="T54" s="2">
        <f t="shared" si="14"/>
        <v>568.49356804025479</v>
      </c>
      <c r="U54" s="2">
        <f t="shared" si="14"/>
        <v>574.6884622512639</v>
      </c>
      <c r="V54" s="2">
        <f t="shared" si="14"/>
        <v>581.3464248045459</v>
      </c>
      <c r="W54" s="2">
        <f t="shared" si="14"/>
        <v>148.50207005868569</v>
      </c>
      <c r="X54" s="2">
        <f t="shared" si="14"/>
        <v>123.30259979557245</v>
      </c>
      <c r="Y54" s="2">
        <f t="shared" si="14"/>
        <v>96.219469130291472</v>
      </c>
      <c r="Z54" s="2">
        <f t="shared" si="14"/>
        <v>67.111874447780764</v>
      </c>
      <c r="AA54" s="2">
        <f t="shared" si="14"/>
        <v>35.82848706275238</v>
      </c>
      <c r="AB54" s="2">
        <f t="shared" si="14"/>
        <v>2.2066664706931234</v>
      </c>
      <c r="AC54" s="2">
        <f t="shared" si="14"/>
        <v>0</v>
      </c>
      <c r="AD54" s="2">
        <f t="shared" si="14"/>
        <v>0</v>
      </c>
      <c r="AE54" s="2">
        <f t="shared" si="14"/>
        <v>3.4716147893774338</v>
      </c>
      <c r="AF54" s="2">
        <f t="shared" si="14"/>
        <v>3.7311179948833968</v>
      </c>
      <c r="AG54" s="2">
        <f t="shared" si="14"/>
        <v>4.0100190650009306</v>
      </c>
      <c r="AH54" s="2">
        <f t="shared" si="14"/>
        <v>4.3097679901097496</v>
      </c>
      <c r="AI54" s="2">
        <f t="shared" si="14"/>
        <v>4.6319231473704541</v>
      </c>
      <c r="AJ54" s="4" t="e">
        <f>AI54/AI56</f>
        <v>#DIV/0!</v>
      </c>
    </row>
    <row r="55" spans="2:36" x14ac:dyDescent="0.25">
      <c r="B55" s="11"/>
    </row>
    <row r="56" spans="2:36" x14ac:dyDescent="0.25">
      <c r="B56" t="s">
        <v>17</v>
      </c>
      <c r="D56" s="3">
        <f>IF(D23&lt;=$C$60,(D50+D54),0)</f>
        <v>0</v>
      </c>
      <c r="E56" s="3">
        <f t="shared" ref="E56:AI56" si="15">IF(E23&lt;=$C$60,(E50+E54),0)</f>
        <v>0</v>
      </c>
      <c r="F56" s="3">
        <f t="shared" si="15"/>
        <v>0</v>
      </c>
      <c r="G56" s="3">
        <f t="shared" si="15"/>
        <v>0</v>
      </c>
      <c r="H56" s="3">
        <f t="shared" si="15"/>
        <v>0</v>
      </c>
      <c r="I56" s="3">
        <f t="shared" si="15"/>
        <v>0</v>
      </c>
      <c r="J56" s="3">
        <f t="shared" si="15"/>
        <v>0</v>
      </c>
      <c r="K56" s="3">
        <f t="shared" si="15"/>
        <v>0</v>
      </c>
      <c r="L56" s="3">
        <f t="shared" si="15"/>
        <v>0</v>
      </c>
      <c r="M56" s="3">
        <f t="shared" si="15"/>
        <v>0</v>
      </c>
      <c r="N56" s="3">
        <f t="shared" si="15"/>
        <v>0</v>
      </c>
      <c r="O56" s="3">
        <f t="shared" si="15"/>
        <v>0</v>
      </c>
      <c r="P56" s="3">
        <f t="shared" si="15"/>
        <v>0</v>
      </c>
      <c r="Q56" s="3">
        <f t="shared" si="15"/>
        <v>0</v>
      </c>
      <c r="R56" s="3">
        <f t="shared" si="15"/>
        <v>0</v>
      </c>
      <c r="S56" s="3">
        <f t="shared" si="15"/>
        <v>0</v>
      </c>
      <c r="T56" s="3">
        <f t="shared" si="15"/>
        <v>0</v>
      </c>
      <c r="U56" s="3">
        <f t="shared" si="15"/>
        <v>0</v>
      </c>
      <c r="V56" s="3">
        <f t="shared" si="15"/>
        <v>0</v>
      </c>
      <c r="W56" s="3">
        <f t="shared" si="15"/>
        <v>0</v>
      </c>
      <c r="X56" s="3">
        <f t="shared" si="15"/>
        <v>0</v>
      </c>
      <c r="Y56" s="3">
        <f t="shared" si="15"/>
        <v>0</v>
      </c>
      <c r="Z56" s="3">
        <f t="shared" si="15"/>
        <v>0</v>
      </c>
      <c r="AA56" s="3">
        <f t="shared" si="15"/>
        <v>0</v>
      </c>
      <c r="AB56" s="3">
        <f t="shared" si="15"/>
        <v>0</v>
      </c>
      <c r="AC56" s="3">
        <f t="shared" si="15"/>
        <v>0</v>
      </c>
      <c r="AD56" s="3">
        <f t="shared" si="15"/>
        <v>0</v>
      </c>
      <c r="AE56" s="3">
        <f t="shared" si="15"/>
        <v>0</v>
      </c>
      <c r="AF56" s="3">
        <f t="shared" si="15"/>
        <v>0</v>
      </c>
      <c r="AG56" s="3">
        <f t="shared" si="15"/>
        <v>0</v>
      </c>
      <c r="AH56" s="3">
        <f t="shared" si="15"/>
        <v>0</v>
      </c>
      <c r="AI56" s="3">
        <f t="shared" si="15"/>
        <v>0</v>
      </c>
    </row>
    <row r="57" spans="2:36" x14ac:dyDescent="0.25">
      <c r="B57" s="11"/>
    </row>
    <row r="58" spans="2:36" x14ac:dyDescent="0.25">
      <c r="B58" t="s">
        <v>10</v>
      </c>
      <c r="D58" s="3">
        <f>D39-D50</f>
        <v>67609.375</v>
      </c>
      <c r="E58" s="3">
        <f>E39-E50</f>
        <v>69363.17578125</v>
      </c>
      <c r="F58" s="3">
        <f>F39-F50</f>
        <v>71248.073170898439</v>
      </c>
      <c r="G58" s="3">
        <f>G39-G50</f>
        <v>73273.86664042309</v>
      </c>
      <c r="H58" s="3">
        <f>H39-H50</f>
        <v>75451.088171794705</v>
      </c>
      <c r="I58" s="3">
        <f>I39-I50</f>
        <v>77791.05701263636</v>
      </c>
      <c r="J58" s="3">
        <f>J39-J50</f>
        <v>80305.938524330923</v>
      </c>
      <c r="K58" s="3">
        <f>K39-K50</f>
        <v>83008.807429024659</v>
      </c>
      <c r="L58" s="3">
        <f>L39-L50</f>
        <v>85913.71578434424</v>
      </c>
      <c r="M58" s="3">
        <f>M39-M50</f>
        <v>49035.766039223963</v>
      </c>
      <c r="N58" s="3">
        <f t="shared" ref="N58:AI58" si="16">N39-N50</f>
        <v>49401.189550655952</v>
      </c>
      <c r="O58" s="3">
        <f t="shared" si="16"/>
        <v>49793.928469567487</v>
      </c>
      <c r="P58" s="3">
        <f t="shared" si="16"/>
        <v>50216.024622667654</v>
      </c>
      <c r="Q58" s="3">
        <f t="shared" si="16"/>
        <v>50669.67246321206</v>
      </c>
      <c r="R58" s="3">
        <f t="shared" si="16"/>
        <v>51157.230479837162</v>
      </c>
      <c r="S58" s="3">
        <f t="shared" si="16"/>
        <v>51681.233458204988</v>
      </c>
      <c r="T58" s="3">
        <f t="shared" si="16"/>
        <v>52244.405659205811</v>
      </c>
      <c r="U58" s="3">
        <f t="shared" si="16"/>
        <v>52849.674982231445</v>
      </c>
      <c r="V58" s="3">
        <f t="shared" si="16"/>
        <v>13500.188187153246</v>
      </c>
      <c r="W58" s="3">
        <f t="shared" si="16"/>
        <v>11209.327254142951</v>
      </c>
      <c r="X58" s="3">
        <f t="shared" si="16"/>
        <v>8747.2244663901347</v>
      </c>
      <c r="Y58" s="3">
        <f t="shared" si="16"/>
        <v>6101.0794952527976</v>
      </c>
      <c r="Z58" s="3">
        <f t="shared" si="16"/>
        <v>3257.1351875229439</v>
      </c>
      <c r="AA58" s="3">
        <f t="shared" si="16"/>
        <v>200.60604279028394</v>
      </c>
      <c r="AB58" s="3">
        <f t="shared" si="16"/>
        <v>-3084.3986555111424</v>
      </c>
      <c r="AC58" s="3">
        <f t="shared" si="16"/>
        <v>-6384.3986555111424</v>
      </c>
      <c r="AD58" s="3">
        <f t="shared" si="16"/>
        <v>315.60134448885765</v>
      </c>
      <c r="AE58" s="3">
        <f t="shared" si="16"/>
        <v>339.19254498939972</v>
      </c>
      <c r="AF58" s="3">
        <f t="shared" si="16"/>
        <v>364.54718772735737</v>
      </c>
      <c r="AG58" s="3">
        <f t="shared" si="16"/>
        <v>391.7970900099773</v>
      </c>
      <c r="AH58" s="3">
        <f t="shared" si="16"/>
        <v>421.08392248822315</v>
      </c>
      <c r="AI58" s="3">
        <f t="shared" si="16"/>
        <v>452.55994569421784</v>
      </c>
    </row>
    <row r="60" spans="2:36" x14ac:dyDescent="0.25">
      <c r="B60" t="s">
        <v>37</v>
      </c>
      <c r="D60">
        <f>D23</f>
        <v>2026</v>
      </c>
    </row>
    <row r="61" spans="2:36" x14ac:dyDescent="0.25">
      <c r="B61" t="s">
        <v>38</v>
      </c>
      <c r="D61" s="8">
        <f>D29</f>
        <v>112500</v>
      </c>
      <c r="E61" t="s">
        <v>39</v>
      </c>
    </row>
    <row r="62" spans="2:36" x14ac:dyDescent="0.25">
      <c r="B62" t="s">
        <v>40</v>
      </c>
    </row>
    <row r="63" spans="2:36" x14ac:dyDescent="0.25">
      <c r="B63" t="s">
        <v>23</v>
      </c>
      <c r="C63" s="11"/>
      <c r="D63" s="7" t="s">
        <v>33</v>
      </c>
      <c r="E63" t="s">
        <v>34</v>
      </c>
    </row>
    <row r="64" spans="2:36" x14ac:dyDescent="0.25">
      <c r="B64" t="s">
        <v>25</v>
      </c>
      <c r="C64" s="11"/>
      <c r="D64" s="11"/>
    </row>
    <row r="65" spans="2:4" x14ac:dyDescent="0.25">
      <c r="B65" t="s">
        <v>2</v>
      </c>
      <c r="C65" s="9"/>
      <c r="D65" s="5">
        <v>3.5000000000000003E-2</v>
      </c>
    </row>
    <row r="66" spans="2:4" x14ac:dyDescent="0.25">
      <c r="B66" t="s">
        <v>7</v>
      </c>
      <c r="C66" s="9"/>
      <c r="D66" s="5">
        <v>4.4999999999999998E-2</v>
      </c>
    </row>
    <row r="68" spans="2:4" x14ac:dyDescent="0.25">
      <c r="B68" s="7" t="s">
        <v>41</v>
      </c>
    </row>
    <row r="69" spans="2:4" s="11" customFormat="1" x14ac:dyDescent="0.25">
      <c r="B69" s="11" t="s">
        <v>35</v>
      </c>
      <c r="C69" s="11">
        <v>2026</v>
      </c>
    </row>
    <row r="70" spans="2:4" x14ac:dyDescent="0.25">
      <c r="B70" t="s">
        <v>12</v>
      </c>
      <c r="C70" s="7">
        <v>1</v>
      </c>
    </row>
    <row r="71" spans="2:4" x14ac:dyDescent="0.25">
      <c r="B71" t="s">
        <v>27</v>
      </c>
      <c r="C71" s="7">
        <v>5</v>
      </c>
    </row>
    <row r="72" spans="2:4" x14ac:dyDescent="0.25">
      <c r="B72" t="s">
        <v>13</v>
      </c>
      <c r="C72" s="11">
        <f>C69+C71</f>
        <v>2031</v>
      </c>
    </row>
    <row r="73" spans="2:4" x14ac:dyDescent="0.25">
      <c r="B73" t="s">
        <v>19</v>
      </c>
      <c r="C73" s="6">
        <v>65</v>
      </c>
    </row>
    <row r="74" spans="2:4" x14ac:dyDescent="0.25">
      <c r="B74" t="s">
        <v>20</v>
      </c>
      <c r="C74" s="6">
        <v>62</v>
      </c>
    </row>
    <row r="75" spans="2:4" x14ac:dyDescent="0.25">
      <c r="B75" t="s">
        <v>4</v>
      </c>
      <c r="C75" s="5">
        <v>0</v>
      </c>
    </row>
    <row r="76" spans="2:4" x14ac:dyDescent="0.25">
      <c r="B76" t="s">
        <v>18</v>
      </c>
      <c r="C76" s="5">
        <v>1.0999999999999999E-2</v>
      </c>
    </row>
    <row r="77" spans="2:4" x14ac:dyDescent="0.25">
      <c r="B77" t="s">
        <v>21</v>
      </c>
      <c r="C77" s="5">
        <v>0.03</v>
      </c>
    </row>
    <row r="78" spans="2:4" x14ac:dyDescent="0.25">
      <c r="C78" s="11"/>
    </row>
    <row r="79" spans="2:4" x14ac:dyDescent="0.25">
      <c r="B79" t="s">
        <v>23</v>
      </c>
      <c r="C79" s="7" t="str">
        <f>C18</f>
        <v>Balanced</v>
      </c>
      <c r="D79" t="s">
        <v>34</v>
      </c>
    </row>
    <row r="80" spans="2:4" x14ac:dyDescent="0.25">
      <c r="B80" t="s">
        <v>25</v>
      </c>
      <c r="C80" s="11"/>
    </row>
    <row r="81" spans="2:35" x14ac:dyDescent="0.25">
      <c r="B81" t="s">
        <v>2</v>
      </c>
      <c r="C81" s="5">
        <f>C20</f>
        <v>3.5000000000000003E-2</v>
      </c>
    </row>
    <row r="82" spans="2:35" x14ac:dyDescent="0.25">
      <c r="B82" t="s">
        <v>7</v>
      </c>
      <c r="C82" s="5">
        <f>C21</f>
        <v>4.4999999999999998E-2</v>
      </c>
    </row>
    <row r="84" spans="2:35" x14ac:dyDescent="0.25">
      <c r="B84" s="11" t="s">
        <v>28</v>
      </c>
      <c r="D84" s="11">
        <f>C69</f>
        <v>2026</v>
      </c>
      <c r="E84">
        <f>D84+1</f>
        <v>2027</v>
      </c>
      <c r="F84">
        <f t="shared" ref="F84:M87" si="17">E84+1</f>
        <v>2028</v>
      </c>
      <c r="G84">
        <f t="shared" si="17"/>
        <v>2029</v>
      </c>
      <c r="H84">
        <f t="shared" si="17"/>
        <v>2030</v>
      </c>
      <c r="I84">
        <f t="shared" si="17"/>
        <v>2031</v>
      </c>
      <c r="J84">
        <f t="shared" si="17"/>
        <v>2032</v>
      </c>
      <c r="K84">
        <f t="shared" si="17"/>
        <v>2033</v>
      </c>
      <c r="L84">
        <f t="shared" si="17"/>
        <v>2034</v>
      </c>
      <c r="M84">
        <f t="shared" si="17"/>
        <v>2035</v>
      </c>
    </row>
    <row r="85" spans="2:35" x14ac:dyDescent="0.25">
      <c r="B85" t="s">
        <v>3</v>
      </c>
      <c r="D85">
        <v>0</v>
      </c>
      <c r="E85">
        <f>D85+1</f>
        <v>1</v>
      </c>
      <c r="F85">
        <f t="shared" si="17"/>
        <v>2</v>
      </c>
      <c r="G85">
        <f t="shared" si="17"/>
        <v>3</v>
      </c>
      <c r="H85">
        <f t="shared" si="17"/>
        <v>4</v>
      </c>
      <c r="I85">
        <f t="shared" si="17"/>
        <v>5</v>
      </c>
      <c r="J85">
        <f t="shared" si="17"/>
        <v>6</v>
      </c>
      <c r="K85">
        <f t="shared" si="17"/>
        <v>7</v>
      </c>
      <c r="L85">
        <f t="shared" si="17"/>
        <v>8</v>
      </c>
      <c r="M85" s="7">
        <f t="shared" si="17"/>
        <v>9</v>
      </c>
    </row>
    <row r="86" spans="2:35" x14ac:dyDescent="0.25">
      <c r="B86" t="s">
        <v>19</v>
      </c>
      <c r="D86" s="3">
        <f>C73</f>
        <v>65</v>
      </c>
      <c r="E86" s="3">
        <f>D86+1</f>
        <v>66</v>
      </c>
      <c r="F86" s="3">
        <f t="shared" si="17"/>
        <v>67</v>
      </c>
      <c r="G86" s="3">
        <f t="shared" si="17"/>
        <v>68</v>
      </c>
      <c r="H86" s="3">
        <f t="shared" si="17"/>
        <v>69</v>
      </c>
      <c r="I86" s="3">
        <f t="shared" si="17"/>
        <v>70</v>
      </c>
      <c r="J86" s="3">
        <f t="shared" si="17"/>
        <v>71</v>
      </c>
      <c r="K86" s="3">
        <f t="shared" si="17"/>
        <v>72</v>
      </c>
      <c r="L86" s="3">
        <f t="shared" si="17"/>
        <v>73</v>
      </c>
      <c r="M86" s="3">
        <f t="shared" si="17"/>
        <v>74</v>
      </c>
    </row>
    <row r="87" spans="2:35" x14ac:dyDescent="0.25">
      <c r="B87" t="s">
        <v>20</v>
      </c>
      <c r="D87" s="3">
        <f>C74</f>
        <v>62</v>
      </c>
      <c r="E87" s="3">
        <f>D87+1</f>
        <v>63</v>
      </c>
      <c r="F87" s="3">
        <f t="shared" si="17"/>
        <v>64</v>
      </c>
      <c r="G87" s="3">
        <f t="shared" si="17"/>
        <v>65</v>
      </c>
      <c r="H87" s="3">
        <f t="shared" si="17"/>
        <v>66</v>
      </c>
      <c r="I87" s="3">
        <f t="shared" si="17"/>
        <v>67</v>
      </c>
      <c r="J87" s="3">
        <f t="shared" si="17"/>
        <v>68</v>
      </c>
      <c r="K87" s="3">
        <f t="shared" si="17"/>
        <v>69</v>
      </c>
      <c r="L87" s="3">
        <f t="shared" si="17"/>
        <v>70</v>
      </c>
      <c r="M87" s="3">
        <f t="shared" si="17"/>
        <v>71</v>
      </c>
    </row>
    <row r="88" spans="2:35" x14ac:dyDescent="0.25">
      <c r="M88" s="7"/>
    </row>
    <row r="90" spans="2:35" x14ac:dyDescent="0.25">
      <c r="B90" t="s">
        <v>0</v>
      </c>
      <c r="D90" s="13">
        <v>475000</v>
      </c>
      <c r="E90" s="8">
        <f>D100-D108</f>
        <v>507775</v>
      </c>
      <c r="F90" s="8">
        <f t="shared" ref="F90:M90" si="18">E100-E108</f>
        <v>542811.47499999998</v>
      </c>
      <c r="G90" s="8">
        <f t="shared" si="18"/>
        <v>580265.4667750001</v>
      </c>
      <c r="H90" s="8">
        <f t="shared" si="18"/>
        <v>620303.78398247506</v>
      </c>
      <c r="I90" s="8">
        <f t="shared" si="18"/>
        <v>663104.74507726589</v>
      </c>
      <c r="J90" s="8">
        <f t="shared" si="18"/>
        <v>708858.97248759726</v>
      </c>
      <c r="K90" s="8">
        <f t="shared" si="18"/>
        <v>757770.24158924143</v>
      </c>
      <c r="L90" s="8">
        <f t="shared" si="18"/>
        <v>810056.3882588991</v>
      </c>
      <c r="M90" s="8">
        <f t="shared" si="18"/>
        <v>865950.2790487631</v>
      </c>
    </row>
    <row r="91" spans="2:35" x14ac:dyDescent="0.25">
      <c r="B91" t="s">
        <v>2</v>
      </c>
      <c r="D91" s="9">
        <f>C81</f>
        <v>3.5000000000000003E-2</v>
      </c>
      <c r="E91" s="1">
        <f>D91</f>
        <v>3.5000000000000003E-2</v>
      </c>
      <c r="F91" s="1">
        <f t="shared" ref="F91:M91" si="19">E91</f>
        <v>3.5000000000000003E-2</v>
      </c>
      <c r="G91" s="1">
        <f t="shared" si="19"/>
        <v>3.5000000000000003E-2</v>
      </c>
      <c r="H91" s="1">
        <f t="shared" si="19"/>
        <v>3.5000000000000003E-2</v>
      </c>
      <c r="I91" s="1">
        <f t="shared" si="19"/>
        <v>3.5000000000000003E-2</v>
      </c>
      <c r="J91" s="1">
        <f t="shared" si="19"/>
        <v>3.5000000000000003E-2</v>
      </c>
      <c r="K91" s="1">
        <f t="shared" si="19"/>
        <v>3.5000000000000003E-2</v>
      </c>
      <c r="L91" s="1">
        <f t="shared" si="19"/>
        <v>3.5000000000000003E-2</v>
      </c>
      <c r="M91" s="1">
        <f t="shared" si="19"/>
        <v>3.5000000000000003E-2</v>
      </c>
    </row>
    <row r="92" spans="2:35" x14ac:dyDescent="0.25">
      <c r="B92" t="s">
        <v>1</v>
      </c>
      <c r="D92" s="10">
        <f>D90*D91</f>
        <v>16625</v>
      </c>
      <c r="E92" s="3">
        <f t="shared" ref="E92:M92" si="20">E90*E91</f>
        <v>17772.125</v>
      </c>
      <c r="F92" s="3">
        <f t="shared" si="20"/>
        <v>18998.401625000002</v>
      </c>
      <c r="G92" s="3">
        <f t="shared" si="20"/>
        <v>20309.291337125007</v>
      </c>
      <c r="H92" s="3">
        <f t="shared" si="20"/>
        <v>21710.632439386631</v>
      </c>
      <c r="I92" s="3">
        <f t="shared" si="20"/>
        <v>23208.666077704307</v>
      </c>
      <c r="J92" s="3">
        <f t="shared" si="20"/>
        <v>24810.064037065906</v>
      </c>
      <c r="K92" s="3">
        <f t="shared" si="20"/>
        <v>26521.958455623451</v>
      </c>
      <c r="L92" s="3">
        <f t="shared" si="20"/>
        <v>28351.973589061472</v>
      </c>
      <c r="M92" s="3">
        <f t="shared" si="20"/>
        <v>30308.259766706713</v>
      </c>
    </row>
    <row r="93" spans="2:35" x14ac:dyDescent="0.25">
      <c r="B93" t="s">
        <v>4</v>
      </c>
      <c r="D93" s="9">
        <f>C75</f>
        <v>0</v>
      </c>
      <c r="E93" s="4">
        <f>D93</f>
        <v>0</v>
      </c>
      <c r="F93" s="4">
        <f t="shared" ref="F93:M93" si="21">E93</f>
        <v>0</v>
      </c>
      <c r="G93" s="4">
        <f t="shared" si="21"/>
        <v>0</v>
      </c>
      <c r="H93" s="4">
        <f t="shared" si="21"/>
        <v>0</v>
      </c>
      <c r="I93" s="4">
        <f t="shared" si="21"/>
        <v>0</v>
      </c>
      <c r="J93" s="4">
        <f t="shared" si="21"/>
        <v>0</v>
      </c>
      <c r="K93" s="4">
        <f t="shared" si="21"/>
        <v>0</v>
      </c>
      <c r="L93" s="4">
        <f t="shared" si="21"/>
        <v>0</v>
      </c>
      <c r="M93" s="4">
        <f t="shared" si="21"/>
        <v>0</v>
      </c>
    </row>
    <row r="94" spans="2:35" x14ac:dyDescent="0.25">
      <c r="B94" t="s">
        <v>5</v>
      </c>
      <c r="D94" s="10">
        <f>IF((D92*D93)&lt;0,0,(D92*D93))</f>
        <v>0</v>
      </c>
      <c r="E94" s="10">
        <f t="shared" ref="E94:M94" si="22">IF((E92*E93)&lt;0,0,(E92*E93))</f>
        <v>0</v>
      </c>
      <c r="F94" s="10">
        <f t="shared" si="22"/>
        <v>0</v>
      </c>
      <c r="G94" s="10">
        <f t="shared" si="22"/>
        <v>0</v>
      </c>
      <c r="H94" s="10">
        <f t="shared" si="22"/>
        <v>0</v>
      </c>
      <c r="I94" s="10">
        <f t="shared" si="22"/>
        <v>0</v>
      </c>
      <c r="J94" s="10">
        <f t="shared" si="22"/>
        <v>0</v>
      </c>
      <c r="K94" s="10">
        <f t="shared" si="22"/>
        <v>0</v>
      </c>
      <c r="L94" s="10">
        <f t="shared" si="22"/>
        <v>0</v>
      </c>
      <c r="M94" s="10">
        <f t="shared" si="22"/>
        <v>0</v>
      </c>
      <c r="AI94" s="3">
        <f>SUM(D94:N94)</f>
        <v>0</v>
      </c>
    </row>
    <row r="95" spans="2:35" x14ac:dyDescent="0.25">
      <c r="B95" t="s">
        <v>6</v>
      </c>
      <c r="D95" s="10">
        <f>IF((D92-D94)&lt;0,0,(D92-D94))</f>
        <v>16625</v>
      </c>
      <c r="E95" s="10">
        <f t="shared" ref="E95:M95" si="23">IF((E92-E94)&lt;0,0,(E92-E94))</f>
        <v>17772.125</v>
      </c>
      <c r="F95" s="10">
        <f t="shared" si="23"/>
        <v>18998.401625000002</v>
      </c>
      <c r="G95" s="10">
        <f t="shared" si="23"/>
        <v>20309.291337125007</v>
      </c>
      <c r="H95" s="10">
        <f t="shared" si="23"/>
        <v>21710.632439386631</v>
      </c>
      <c r="I95" s="10">
        <f t="shared" si="23"/>
        <v>23208.666077704307</v>
      </c>
      <c r="J95" s="10">
        <f t="shared" si="23"/>
        <v>24810.064037065906</v>
      </c>
      <c r="K95" s="10">
        <f t="shared" si="23"/>
        <v>26521.958455623451</v>
      </c>
      <c r="L95" s="10">
        <f t="shared" si="23"/>
        <v>28351.973589061472</v>
      </c>
      <c r="M95" s="10">
        <f t="shared" si="23"/>
        <v>30308.259766706713</v>
      </c>
      <c r="AI95" s="3">
        <f>SUM(D95:N95)</f>
        <v>228616.37232767345</v>
      </c>
    </row>
    <row r="96" spans="2:35" x14ac:dyDescent="0.25">
      <c r="D96" s="11"/>
      <c r="AI96" s="3"/>
    </row>
    <row r="97" spans="2:36" x14ac:dyDescent="0.25">
      <c r="B97" t="s">
        <v>7</v>
      </c>
      <c r="D97" s="9">
        <f>C82</f>
        <v>4.4999999999999998E-2</v>
      </c>
      <c r="E97" s="1">
        <f>D97</f>
        <v>4.4999999999999998E-2</v>
      </c>
      <c r="F97" s="1">
        <f t="shared" ref="F97:M97" si="24">E97</f>
        <v>4.4999999999999998E-2</v>
      </c>
      <c r="G97" s="1">
        <f t="shared" si="24"/>
        <v>4.4999999999999998E-2</v>
      </c>
      <c r="H97" s="1">
        <f t="shared" si="24"/>
        <v>4.4999999999999998E-2</v>
      </c>
      <c r="I97" s="1">
        <f t="shared" si="24"/>
        <v>4.4999999999999998E-2</v>
      </c>
      <c r="J97" s="1">
        <f t="shared" si="24"/>
        <v>4.4999999999999998E-2</v>
      </c>
      <c r="K97" s="1">
        <f t="shared" si="24"/>
        <v>4.4999999999999998E-2</v>
      </c>
      <c r="L97" s="1">
        <f t="shared" si="24"/>
        <v>4.4999999999999998E-2</v>
      </c>
      <c r="M97" s="1">
        <f t="shared" si="24"/>
        <v>4.4999999999999998E-2</v>
      </c>
    </row>
    <row r="98" spans="2:36" x14ac:dyDescent="0.25">
      <c r="B98" t="s">
        <v>8</v>
      </c>
      <c r="D98" s="10">
        <f>IF((D97*D90)&lt;0,0,(D97*D90))</f>
        <v>21375</v>
      </c>
      <c r="E98" s="10">
        <f t="shared" ref="E98:M98" si="25">IF((E97*E90)&lt;0,0,(E97*E90))</f>
        <v>22849.875</v>
      </c>
      <c r="F98" s="10">
        <f t="shared" si="25"/>
        <v>24426.516374999999</v>
      </c>
      <c r="G98" s="10">
        <f t="shared" si="25"/>
        <v>26111.946004875004</v>
      </c>
      <c r="H98" s="10">
        <f t="shared" si="25"/>
        <v>27913.670279211376</v>
      </c>
      <c r="I98" s="10">
        <f t="shared" si="25"/>
        <v>29839.713528476965</v>
      </c>
      <c r="J98" s="10">
        <f t="shared" si="25"/>
        <v>31898.653761941874</v>
      </c>
      <c r="K98" s="10">
        <f t="shared" si="25"/>
        <v>34099.660871515865</v>
      </c>
      <c r="L98" s="10">
        <f t="shared" si="25"/>
        <v>36452.537471650459</v>
      </c>
      <c r="M98" s="10">
        <f t="shared" si="25"/>
        <v>38967.762557194335</v>
      </c>
      <c r="AI98" s="3">
        <f>SUM(D98:M98)</f>
        <v>293935.33584986592</v>
      </c>
    </row>
    <row r="99" spans="2:36" x14ac:dyDescent="0.25">
      <c r="D99" s="11"/>
    </row>
    <row r="100" spans="2:36" x14ac:dyDescent="0.25">
      <c r="B100" t="s">
        <v>9</v>
      </c>
      <c r="D100" s="10">
        <f>D90+D95+D98</f>
        <v>513000</v>
      </c>
      <c r="E100" s="3">
        <f t="shared" ref="E100:M100" si="26">E90+E95+E98</f>
        <v>548397</v>
      </c>
      <c r="F100" s="3">
        <f t="shared" si="26"/>
        <v>586236.39300000004</v>
      </c>
      <c r="G100" s="3">
        <f t="shared" si="26"/>
        <v>626686.7041170001</v>
      </c>
      <c r="H100" s="3">
        <f t="shared" si="26"/>
        <v>669928.0867010731</v>
      </c>
      <c r="I100" s="3">
        <f t="shared" si="26"/>
        <v>716153.12468344718</v>
      </c>
      <c r="J100" s="3">
        <f t="shared" si="26"/>
        <v>765567.69028660504</v>
      </c>
      <c r="K100" s="3">
        <f t="shared" si="26"/>
        <v>818391.86091638077</v>
      </c>
      <c r="L100" s="3">
        <f t="shared" si="26"/>
        <v>874860.89931961102</v>
      </c>
      <c r="M100" s="3">
        <f t="shared" si="26"/>
        <v>935226.30137266417</v>
      </c>
    </row>
    <row r="101" spans="2:36" x14ac:dyDescent="0.25">
      <c r="D101" s="11"/>
    </row>
    <row r="102" spans="2:36" x14ac:dyDescent="0.25">
      <c r="B102" t="s">
        <v>16</v>
      </c>
      <c r="D102" s="6">
        <v>0</v>
      </c>
      <c r="E102" s="2">
        <f>D102*(1+D103)</f>
        <v>0</v>
      </c>
      <c r="F102" s="2">
        <f t="shared" ref="F102:M102" si="27">E102*(1+E103)</f>
        <v>0</v>
      </c>
      <c r="G102" s="2">
        <f t="shared" si="27"/>
        <v>0</v>
      </c>
      <c r="H102" s="2">
        <f t="shared" si="27"/>
        <v>0</v>
      </c>
      <c r="I102" s="2">
        <f t="shared" si="27"/>
        <v>0</v>
      </c>
      <c r="J102" s="2">
        <f t="shared" si="27"/>
        <v>0</v>
      </c>
      <c r="K102" s="2">
        <f t="shared" si="27"/>
        <v>0</v>
      </c>
      <c r="L102" s="2">
        <f t="shared" si="27"/>
        <v>0</v>
      </c>
      <c r="M102" s="2">
        <f t="shared" si="27"/>
        <v>0</v>
      </c>
    </row>
    <row r="103" spans="2:36" x14ac:dyDescent="0.25">
      <c r="B103" t="s">
        <v>11</v>
      </c>
      <c r="D103" s="9">
        <f>C77</f>
        <v>0.03</v>
      </c>
      <c r="E103" s="1">
        <f>D103</f>
        <v>0.03</v>
      </c>
      <c r="F103" s="1">
        <f t="shared" ref="F103:M103" si="28">E103</f>
        <v>0.03</v>
      </c>
      <c r="G103" s="1">
        <f t="shared" si="28"/>
        <v>0.03</v>
      </c>
      <c r="H103" s="1">
        <f t="shared" si="28"/>
        <v>0.03</v>
      </c>
      <c r="I103" s="1">
        <f t="shared" si="28"/>
        <v>0.03</v>
      </c>
      <c r="J103" s="1">
        <f t="shared" si="28"/>
        <v>0.03</v>
      </c>
      <c r="K103" s="1">
        <f t="shared" si="28"/>
        <v>0.03</v>
      </c>
      <c r="L103" s="1">
        <f t="shared" si="28"/>
        <v>0.03</v>
      </c>
      <c r="M103" s="1">
        <f t="shared" si="28"/>
        <v>0.03</v>
      </c>
    </row>
    <row r="104" spans="2:36" x14ac:dyDescent="0.25">
      <c r="B104" s="11"/>
      <c r="C104" s="11"/>
      <c r="D104" s="9"/>
      <c r="E104" s="1"/>
      <c r="F104" s="1"/>
      <c r="G104" s="1"/>
      <c r="H104" s="1"/>
      <c r="I104" s="1"/>
      <c r="J104" s="1"/>
      <c r="K104" s="1"/>
      <c r="L104" s="1"/>
      <c r="M104" s="1"/>
    </row>
    <row r="105" spans="2:36" x14ac:dyDescent="0.25">
      <c r="B105" s="11" t="s">
        <v>14</v>
      </c>
      <c r="C105" s="11"/>
      <c r="D105" s="9">
        <f>C76</f>
        <v>1.0999999999999999E-2</v>
      </c>
      <c r="E105" s="1">
        <f>D105</f>
        <v>1.0999999999999999E-2</v>
      </c>
      <c r="F105" s="1">
        <f t="shared" ref="F105:M105" si="29">E105</f>
        <v>1.0999999999999999E-2</v>
      </c>
      <c r="G105" s="1">
        <f t="shared" si="29"/>
        <v>1.0999999999999999E-2</v>
      </c>
      <c r="H105" s="1">
        <f t="shared" si="29"/>
        <v>1.0999999999999999E-2</v>
      </c>
      <c r="I105" s="1">
        <f t="shared" si="29"/>
        <v>1.0999999999999999E-2</v>
      </c>
      <c r="J105" s="1">
        <f t="shared" si="29"/>
        <v>1.0999999999999999E-2</v>
      </c>
      <c r="K105" s="1">
        <f t="shared" si="29"/>
        <v>1.0999999999999999E-2</v>
      </c>
      <c r="L105" s="1">
        <f t="shared" si="29"/>
        <v>1.0999999999999999E-2</v>
      </c>
      <c r="M105" s="1">
        <f t="shared" si="29"/>
        <v>1.0999999999999999E-2</v>
      </c>
    </row>
    <row r="106" spans="2:36" x14ac:dyDescent="0.25">
      <c r="B106" s="11" t="s">
        <v>15</v>
      </c>
      <c r="D106" s="2">
        <f>IF((D105*D90)&lt;0,0,(D105*D90))</f>
        <v>5225</v>
      </c>
      <c r="E106" s="2">
        <f t="shared" ref="E106:M106" si="30">IF((E105*E90)&lt;0,0,(E105*E90))</f>
        <v>5585.5249999999996</v>
      </c>
      <c r="F106" s="2">
        <f t="shared" si="30"/>
        <v>5970.9262249999992</v>
      </c>
      <c r="G106" s="2">
        <f t="shared" si="30"/>
        <v>6382.9201345250003</v>
      </c>
      <c r="H106" s="2">
        <f t="shared" si="30"/>
        <v>6823.341623807225</v>
      </c>
      <c r="I106" s="2">
        <f t="shared" si="30"/>
        <v>7294.1521958499243</v>
      </c>
      <c r="J106" s="2">
        <f t="shared" si="30"/>
        <v>7797.4486973635694</v>
      </c>
      <c r="K106" s="2">
        <f t="shared" si="30"/>
        <v>8335.4726574816559</v>
      </c>
      <c r="L106" s="2">
        <f t="shared" si="30"/>
        <v>8910.6202708478904</v>
      </c>
      <c r="M106" s="2">
        <f t="shared" si="30"/>
        <v>9525.4530695363937</v>
      </c>
      <c r="AI106" s="3">
        <f>SUM(D106:N106)</f>
        <v>71850.859874411661</v>
      </c>
      <c r="AJ106" s="4">
        <f>AI106/AI108</f>
        <v>1</v>
      </c>
    </row>
    <row r="107" spans="2:36" x14ac:dyDescent="0.25">
      <c r="B107" s="11"/>
    </row>
    <row r="108" spans="2:36" x14ac:dyDescent="0.25">
      <c r="B108" t="s">
        <v>17</v>
      </c>
      <c r="D108" s="3">
        <f>IF(D85&lt;=$C$5,(D102+D106),0)</f>
        <v>5225</v>
      </c>
      <c r="E108" s="3">
        <f t="shared" ref="E108:M108" si="31">IF(E85&lt;=$C$5,(E102+E106),0)</f>
        <v>5585.5249999999996</v>
      </c>
      <c r="F108" s="3">
        <f t="shared" si="31"/>
        <v>5970.9262249999992</v>
      </c>
      <c r="G108" s="3">
        <f t="shared" si="31"/>
        <v>6382.9201345250003</v>
      </c>
      <c r="H108" s="3">
        <f t="shared" si="31"/>
        <v>6823.341623807225</v>
      </c>
      <c r="I108" s="3">
        <f t="shared" si="31"/>
        <v>7294.1521958499243</v>
      </c>
      <c r="J108" s="3">
        <f t="shared" si="31"/>
        <v>7797.4486973635694</v>
      </c>
      <c r="K108" s="3">
        <f t="shared" si="31"/>
        <v>8335.4726574816559</v>
      </c>
      <c r="L108" s="3">
        <f t="shared" si="31"/>
        <v>8910.6202708478904</v>
      </c>
      <c r="M108" s="3">
        <f t="shared" si="31"/>
        <v>9525.4530695363937</v>
      </c>
      <c r="AI108" s="3">
        <f>SUM(D108:N108)</f>
        <v>71850.859874411661</v>
      </c>
    </row>
    <row r="109" spans="2:36" x14ac:dyDescent="0.25">
      <c r="B109" s="11"/>
    </row>
    <row r="110" spans="2:36" x14ac:dyDescent="0.25">
      <c r="B110" t="s">
        <v>10</v>
      </c>
      <c r="D110" s="3">
        <f>D100-D102</f>
        <v>513000</v>
      </c>
      <c r="E110" s="3">
        <f>E100-E102</f>
        <v>548397</v>
      </c>
      <c r="F110" s="3">
        <f>F100-F102</f>
        <v>586236.39300000004</v>
      </c>
      <c r="G110" s="3">
        <f>G100-G102</f>
        <v>626686.7041170001</v>
      </c>
      <c r="H110" s="3">
        <f>H100-H102</f>
        <v>669928.0867010731</v>
      </c>
      <c r="I110" s="3">
        <f>I100-I102</f>
        <v>716153.12468344718</v>
      </c>
      <c r="J110" s="3">
        <f>J100-J102</f>
        <v>765567.69028660504</v>
      </c>
      <c r="K110" s="3">
        <f>K100-K102</f>
        <v>818391.86091638077</v>
      </c>
      <c r="L110" s="3">
        <f>L100-L102</f>
        <v>874860.89931961102</v>
      </c>
      <c r="M110" s="3">
        <f>M100-M102</f>
        <v>935226.30137266417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8F8C-2F6B-4240-9ED8-3C147C6DCD6F}">
  <dimension ref="B1:AJ110"/>
  <sheetViews>
    <sheetView workbookViewId="0">
      <selection sqref="A1:XFD1048576"/>
    </sheetView>
  </sheetViews>
  <sheetFormatPr defaultRowHeight="15" x14ac:dyDescent="0.25"/>
  <cols>
    <col min="2" max="2" width="35.42578125" bestFit="1" customWidth="1"/>
    <col min="3" max="3" width="9.5703125" bestFit="1" customWidth="1"/>
    <col min="4" max="4" width="17" customWidth="1"/>
    <col min="5" max="5" width="10.28515625" customWidth="1"/>
    <col min="6" max="12" width="9.5703125" bestFit="1" customWidth="1"/>
    <col min="13" max="13" width="10.5703125" bestFit="1" customWidth="1"/>
    <col min="35" max="36" width="5.85546875" bestFit="1" customWidth="1"/>
  </cols>
  <sheetData>
    <row r="1" spans="2:3" x14ac:dyDescent="0.25">
      <c r="B1" s="7" t="s">
        <v>51</v>
      </c>
    </row>
    <row r="2" spans="2:3" s="11" customFormat="1" x14ac:dyDescent="0.25">
      <c r="B2" s="11" t="s">
        <v>35</v>
      </c>
      <c r="C2" s="11">
        <f>'Income - Stage 1'!C3</f>
        <v>2026</v>
      </c>
    </row>
    <row r="3" spans="2:3" x14ac:dyDescent="0.25">
      <c r="B3" t="s">
        <v>12</v>
      </c>
      <c r="C3" s="7">
        <f>'Income - Stage 1'!C4</f>
        <v>1</v>
      </c>
    </row>
    <row r="4" spans="2:3" x14ac:dyDescent="0.25">
      <c r="B4" t="s">
        <v>27</v>
      </c>
      <c r="C4" s="7">
        <v>19</v>
      </c>
    </row>
    <row r="5" spans="2:3" x14ac:dyDescent="0.25">
      <c r="B5" t="s">
        <v>13</v>
      </c>
      <c r="C5" s="11">
        <f>C2+C4</f>
        <v>2045</v>
      </c>
    </row>
    <row r="6" spans="2:3" x14ac:dyDescent="0.25">
      <c r="B6" t="s">
        <v>36</v>
      </c>
      <c r="C6" s="11">
        <f>C5+1</f>
        <v>2046</v>
      </c>
    </row>
    <row r="7" spans="2:3" x14ac:dyDescent="0.25">
      <c r="C7" s="11"/>
    </row>
    <row r="8" spans="2:3" x14ac:dyDescent="0.25">
      <c r="B8" t="s">
        <v>29</v>
      </c>
      <c r="C8" s="6">
        <f>'Income - Stage 1'!C7</f>
        <v>65</v>
      </c>
    </row>
    <row r="9" spans="2:3" x14ac:dyDescent="0.25">
      <c r="B9" t="s">
        <v>31</v>
      </c>
      <c r="C9" s="12">
        <f>C8+C4</f>
        <v>84</v>
      </c>
    </row>
    <row r="10" spans="2:3" x14ac:dyDescent="0.25">
      <c r="C10" s="12"/>
    </row>
    <row r="11" spans="2:3" x14ac:dyDescent="0.25">
      <c r="B11" t="s">
        <v>30</v>
      </c>
      <c r="C11" s="6">
        <f>'Income - Stage 1'!C8</f>
        <v>62</v>
      </c>
    </row>
    <row r="12" spans="2:3" x14ac:dyDescent="0.25">
      <c r="B12" t="s">
        <v>32</v>
      </c>
      <c r="C12" s="12">
        <f>C11+C4</f>
        <v>81</v>
      </c>
    </row>
    <row r="13" spans="2:3" x14ac:dyDescent="0.25">
      <c r="C13" s="12"/>
    </row>
    <row r="14" spans="2:3" x14ac:dyDescent="0.25">
      <c r="B14" t="s">
        <v>4</v>
      </c>
      <c r="C14" s="5">
        <v>0.15</v>
      </c>
    </row>
    <row r="15" spans="2:3" x14ac:dyDescent="0.25">
      <c r="B15" t="s">
        <v>18</v>
      </c>
      <c r="C15" s="5">
        <v>1.0999999999999999E-2</v>
      </c>
    </row>
    <row r="16" spans="2:3" x14ac:dyDescent="0.25">
      <c r="B16" t="s">
        <v>21</v>
      </c>
      <c r="C16" s="5">
        <v>0.03</v>
      </c>
    </row>
    <row r="17" spans="2:35" x14ac:dyDescent="0.25">
      <c r="C17" s="11"/>
    </row>
    <row r="18" spans="2:35" x14ac:dyDescent="0.25">
      <c r="B18" t="s">
        <v>23</v>
      </c>
      <c r="C18" s="7" t="s">
        <v>33</v>
      </c>
      <c r="D18" t="s">
        <v>34</v>
      </c>
    </row>
    <row r="19" spans="2:35" x14ac:dyDescent="0.25">
      <c r="B19" t="s">
        <v>25</v>
      </c>
      <c r="C19" s="11"/>
    </row>
    <row r="20" spans="2:35" x14ac:dyDescent="0.25">
      <c r="B20" t="s">
        <v>2</v>
      </c>
      <c r="C20" s="5">
        <v>3.5000000000000003E-2</v>
      </c>
    </row>
    <row r="21" spans="2:35" x14ac:dyDescent="0.25">
      <c r="B21" t="s">
        <v>7</v>
      </c>
      <c r="C21" s="5">
        <v>4.4999999999999998E-2</v>
      </c>
    </row>
    <row r="23" spans="2:35" x14ac:dyDescent="0.25">
      <c r="B23" s="11" t="s">
        <v>28</v>
      </c>
      <c r="D23" s="11">
        <f>C2</f>
        <v>2026</v>
      </c>
      <c r="E23">
        <f>D23+1</f>
        <v>2027</v>
      </c>
      <c r="F23">
        <f t="shared" ref="F23:AI26" si="0">E23+1</f>
        <v>2028</v>
      </c>
      <c r="G23">
        <f t="shared" si="0"/>
        <v>2029</v>
      </c>
      <c r="H23">
        <f t="shared" si="0"/>
        <v>2030</v>
      </c>
      <c r="I23">
        <f t="shared" si="0"/>
        <v>2031</v>
      </c>
      <c r="J23">
        <f t="shared" si="0"/>
        <v>2032</v>
      </c>
      <c r="K23">
        <f t="shared" si="0"/>
        <v>2033</v>
      </c>
      <c r="L23">
        <f t="shared" si="0"/>
        <v>2034</v>
      </c>
      <c r="M23">
        <f t="shared" si="0"/>
        <v>2035</v>
      </c>
      <c r="N23">
        <f t="shared" si="0"/>
        <v>2036</v>
      </c>
      <c r="O23">
        <f t="shared" si="0"/>
        <v>2037</v>
      </c>
      <c r="P23">
        <f t="shared" si="0"/>
        <v>2038</v>
      </c>
      <c r="Q23">
        <f t="shared" si="0"/>
        <v>2039</v>
      </c>
      <c r="R23">
        <f t="shared" si="0"/>
        <v>2040</v>
      </c>
      <c r="S23">
        <f t="shared" si="0"/>
        <v>2041</v>
      </c>
      <c r="T23">
        <f t="shared" si="0"/>
        <v>2042</v>
      </c>
      <c r="U23">
        <f t="shared" si="0"/>
        <v>2043</v>
      </c>
      <c r="V23">
        <f t="shared" si="0"/>
        <v>2044</v>
      </c>
      <c r="W23">
        <f t="shared" si="0"/>
        <v>2045</v>
      </c>
      <c r="X23">
        <f t="shared" si="0"/>
        <v>2046</v>
      </c>
      <c r="Y23">
        <f t="shared" si="0"/>
        <v>2047</v>
      </c>
      <c r="Z23">
        <f t="shared" si="0"/>
        <v>2048</v>
      </c>
      <c r="AA23">
        <f t="shared" si="0"/>
        <v>2049</v>
      </c>
      <c r="AB23">
        <f t="shared" si="0"/>
        <v>2050</v>
      </c>
      <c r="AC23">
        <f t="shared" si="0"/>
        <v>2051</v>
      </c>
      <c r="AD23">
        <f t="shared" si="0"/>
        <v>2052</v>
      </c>
      <c r="AE23">
        <f t="shared" si="0"/>
        <v>2053</v>
      </c>
      <c r="AF23">
        <f t="shared" si="0"/>
        <v>2054</v>
      </c>
      <c r="AG23">
        <f t="shared" si="0"/>
        <v>2055</v>
      </c>
      <c r="AH23">
        <f t="shared" si="0"/>
        <v>2056</v>
      </c>
      <c r="AI23">
        <f t="shared" si="0"/>
        <v>2057</v>
      </c>
    </row>
    <row r="24" spans="2:35" x14ac:dyDescent="0.25">
      <c r="B24" t="s">
        <v>3</v>
      </c>
      <c r="D24">
        <f>C3</f>
        <v>1</v>
      </c>
      <c r="E24">
        <f>D24+1</f>
        <v>2</v>
      </c>
      <c r="F24">
        <f t="shared" si="0"/>
        <v>3</v>
      </c>
      <c r="G24">
        <f t="shared" si="0"/>
        <v>4</v>
      </c>
      <c r="H24">
        <f t="shared" si="0"/>
        <v>5</v>
      </c>
      <c r="I24">
        <f t="shared" si="0"/>
        <v>6</v>
      </c>
      <c r="J24">
        <f t="shared" si="0"/>
        <v>7</v>
      </c>
      <c r="K24">
        <f t="shared" si="0"/>
        <v>8</v>
      </c>
      <c r="L24" s="11">
        <f t="shared" si="0"/>
        <v>9</v>
      </c>
      <c r="M24" s="11">
        <f t="shared" si="0"/>
        <v>10</v>
      </c>
      <c r="N24" s="11">
        <f t="shared" si="0"/>
        <v>11</v>
      </c>
      <c r="O24" s="11">
        <f t="shared" si="0"/>
        <v>12</v>
      </c>
      <c r="P24" s="11">
        <f t="shared" si="0"/>
        <v>13</v>
      </c>
      <c r="Q24" s="11">
        <f t="shared" si="0"/>
        <v>14</v>
      </c>
      <c r="R24" s="11">
        <f t="shared" si="0"/>
        <v>15</v>
      </c>
      <c r="S24" s="11">
        <f t="shared" si="0"/>
        <v>16</v>
      </c>
      <c r="T24" s="11">
        <f t="shared" si="0"/>
        <v>17</v>
      </c>
      <c r="U24" s="11">
        <f t="shared" si="0"/>
        <v>18</v>
      </c>
      <c r="V24" s="11">
        <f t="shared" si="0"/>
        <v>19</v>
      </c>
      <c r="W24" s="11">
        <f t="shared" si="0"/>
        <v>20</v>
      </c>
      <c r="X24" s="11">
        <f t="shared" si="0"/>
        <v>21</v>
      </c>
      <c r="Y24" s="11">
        <f t="shared" si="0"/>
        <v>22</v>
      </c>
      <c r="Z24" s="11">
        <f t="shared" si="0"/>
        <v>23</v>
      </c>
      <c r="AA24" s="11">
        <f t="shared" si="0"/>
        <v>24</v>
      </c>
      <c r="AB24" s="11">
        <f t="shared" si="0"/>
        <v>25</v>
      </c>
      <c r="AC24" s="11">
        <f t="shared" si="0"/>
        <v>26</v>
      </c>
      <c r="AD24" s="11">
        <f t="shared" si="0"/>
        <v>27</v>
      </c>
      <c r="AE24" s="11">
        <f t="shared" si="0"/>
        <v>28</v>
      </c>
      <c r="AF24" s="11">
        <f t="shared" si="0"/>
        <v>29</v>
      </c>
      <c r="AG24" s="11">
        <f t="shared" si="0"/>
        <v>30</v>
      </c>
      <c r="AH24" s="11">
        <f t="shared" si="0"/>
        <v>31</v>
      </c>
      <c r="AI24" s="11">
        <f t="shared" si="0"/>
        <v>32</v>
      </c>
    </row>
    <row r="25" spans="2:35" x14ac:dyDescent="0.25">
      <c r="B25" t="s">
        <v>19</v>
      </c>
      <c r="D25" s="3">
        <f>C8</f>
        <v>65</v>
      </c>
      <c r="E25" s="3">
        <f>D25+1</f>
        <v>66</v>
      </c>
      <c r="F25" s="3">
        <f t="shared" si="0"/>
        <v>67</v>
      </c>
      <c r="G25" s="3">
        <f t="shared" si="0"/>
        <v>68</v>
      </c>
      <c r="H25" s="3">
        <f t="shared" si="0"/>
        <v>69</v>
      </c>
      <c r="I25" s="3">
        <f t="shared" si="0"/>
        <v>70</v>
      </c>
      <c r="J25" s="3">
        <f t="shared" si="0"/>
        <v>71</v>
      </c>
      <c r="K25" s="3">
        <f t="shared" si="0"/>
        <v>72</v>
      </c>
      <c r="L25" s="10">
        <f t="shared" si="0"/>
        <v>73</v>
      </c>
      <c r="M25" s="10">
        <f t="shared" si="0"/>
        <v>74</v>
      </c>
      <c r="N25" s="10">
        <f t="shared" si="0"/>
        <v>75</v>
      </c>
      <c r="O25" s="10">
        <f t="shared" si="0"/>
        <v>76</v>
      </c>
      <c r="P25" s="10">
        <f t="shared" si="0"/>
        <v>77</v>
      </c>
      <c r="Q25" s="10">
        <f t="shared" si="0"/>
        <v>78</v>
      </c>
      <c r="R25" s="10">
        <f t="shared" si="0"/>
        <v>79</v>
      </c>
      <c r="S25" s="10">
        <f t="shared" si="0"/>
        <v>80</v>
      </c>
      <c r="T25" s="10">
        <f t="shared" si="0"/>
        <v>81</v>
      </c>
      <c r="U25" s="10">
        <f t="shared" si="0"/>
        <v>82</v>
      </c>
      <c r="V25" s="10">
        <f t="shared" si="0"/>
        <v>83</v>
      </c>
      <c r="W25" s="10">
        <f t="shared" si="0"/>
        <v>84</v>
      </c>
      <c r="X25" s="10">
        <f t="shared" si="0"/>
        <v>85</v>
      </c>
      <c r="Y25" s="10">
        <f t="shared" si="0"/>
        <v>86</v>
      </c>
      <c r="Z25" s="10">
        <f t="shared" si="0"/>
        <v>87</v>
      </c>
      <c r="AA25" s="10">
        <f t="shared" si="0"/>
        <v>88</v>
      </c>
      <c r="AB25" s="10">
        <f t="shared" si="0"/>
        <v>89</v>
      </c>
      <c r="AC25" s="10">
        <f t="shared" si="0"/>
        <v>90</v>
      </c>
      <c r="AD25" s="10">
        <f t="shared" si="0"/>
        <v>91</v>
      </c>
      <c r="AE25" s="10">
        <f t="shared" si="0"/>
        <v>92</v>
      </c>
      <c r="AF25" s="10">
        <f t="shared" si="0"/>
        <v>93</v>
      </c>
      <c r="AG25" s="10">
        <f t="shared" si="0"/>
        <v>94</v>
      </c>
      <c r="AH25" s="10">
        <f t="shared" si="0"/>
        <v>95</v>
      </c>
      <c r="AI25" s="10">
        <f t="shared" si="0"/>
        <v>96</v>
      </c>
    </row>
    <row r="26" spans="2:35" x14ac:dyDescent="0.25">
      <c r="B26" t="s">
        <v>20</v>
      </c>
      <c r="D26" s="3">
        <f>C11</f>
        <v>62</v>
      </c>
      <c r="E26" s="3">
        <f>D26+1</f>
        <v>63</v>
      </c>
      <c r="F26" s="3">
        <f t="shared" si="0"/>
        <v>64</v>
      </c>
      <c r="G26" s="3">
        <f t="shared" si="0"/>
        <v>65</v>
      </c>
      <c r="H26" s="3">
        <f t="shared" si="0"/>
        <v>66</v>
      </c>
      <c r="I26" s="3">
        <f t="shared" si="0"/>
        <v>67</v>
      </c>
      <c r="J26" s="3">
        <f t="shared" si="0"/>
        <v>68</v>
      </c>
      <c r="K26" s="3">
        <f t="shared" si="0"/>
        <v>69</v>
      </c>
      <c r="L26" s="10">
        <f t="shared" si="0"/>
        <v>70</v>
      </c>
      <c r="M26" s="10">
        <f t="shared" si="0"/>
        <v>71</v>
      </c>
      <c r="N26" s="10">
        <f t="shared" si="0"/>
        <v>72</v>
      </c>
      <c r="O26" s="10">
        <f t="shared" si="0"/>
        <v>73</v>
      </c>
      <c r="P26" s="10">
        <f t="shared" si="0"/>
        <v>74</v>
      </c>
      <c r="Q26" s="10">
        <f t="shared" si="0"/>
        <v>75</v>
      </c>
      <c r="R26" s="10">
        <f t="shared" si="0"/>
        <v>76</v>
      </c>
      <c r="S26" s="10">
        <f t="shared" si="0"/>
        <v>77</v>
      </c>
      <c r="T26" s="10">
        <f t="shared" si="0"/>
        <v>78</v>
      </c>
      <c r="U26" s="10">
        <f t="shared" si="0"/>
        <v>79</v>
      </c>
      <c r="V26" s="10">
        <f t="shared" si="0"/>
        <v>80</v>
      </c>
      <c r="W26" s="10">
        <f t="shared" si="0"/>
        <v>81</v>
      </c>
      <c r="X26" s="10">
        <f t="shared" si="0"/>
        <v>82</v>
      </c>
      <c r="Y26" s="10">
        <f t="shared" si="0"/>
        <v>83</v>
      </c>
      <c r="Z26" s="10">
        <f t="shared" si="0"/>
        <v>84</v>
      </c>
      <c r="AA26" s="10">
        <f t="shared" si="0"/>
        <v>85</v>
      </c>
      <c r="AB26" s="10">
        <f t="shared" si="0"/>
        <v>86</v>
      </c>
      <c r="AC26" s="10">
        <f t="shared" si="0"/>
        <v>87</v>
      </c>
      <c r="AD26" s="10">
        <f t="shared" si="0"/>
        <v>88</v>
      </c>
      <c r="AE26" s="10">
        <f t="shared" si="0"/>
        <v>89</v>
      </c>
      <c r="AF26" s="10">
        <f t="shared" si="0"/>
        <v>90</v>
      </c>
      <c r="AG26" s="10">
        <f t="shared" si="0"/>
        <v>91</v>
      </c>
      <c r="AH26" s="10">
        <f t="shared" si="0"/>
        <v>92</v>
      </c>
      <c r="AI26" s="10">
        <f t="shared" si="0"/>
        <v>93</v>
      </c>
    </row>
    <row r="27" spans="2:35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9" spans="2:35" x14ac:dyDescent="0.25">
      <c r="B29" t="s">
        <v>0</v>
      </c>
      <c r="D29" s="13">
        <v>96200</v>
      </c>
      <c r="E29" s="8">
        <f>D58</f>
        <v>50090.95</v>
      </c>
      <c r="F29" s="8">
        <f t="shared" ref="F29:AI29" si="1">E58</f>
        <v>50535.248512499995</v>
      </c>
      <c r="G29" s="8">
        <f t="shared" si="1"/>
        <v>51012.75833880937</v>
      </c>
      <c r="H29" s="8">
        <f t="shared" si="1"/>
        <v>51525.962024635373</v>
      </c>
      <c r="I29" s="8">
        <f t="shared" si="1"/>
        <v>52077.527685976864</v>
      </c>
      <c r="J29" s="8">
        <f t="shared" si="1"/>
        <v>52670.322880503634</v>
      </c>
      <c r="K29" s="8">
        <f t="shared" si="1"/>
        <v>53307.429515821277</v>
      </c>
      <c r="L29" s="8">
        <f t="shared" si="1"/>
        <v>53992.159872128919</v>
      </c>
      <c r="M29" s="8">
        <f t="shared" si="1"/>
        <v>54728.073822570557</v>
      </c>
      <c r="N29" s="8">
        <f t="shared" si="1"/>
        <v>15518.997340807706</v>
      </c>
      <c r="O29" s="8">
        <f t="shared" si="1"/>
        <v>13379.042392033083</v>
      </c>
      <c r="P29" s="8">
        <f t="shared" si="1"/>
        <v>11079.125810837557</v>
      </c>
      <c r="Q29" s="8">
        <f t="shared" si="1"/>
        <v>8607.2904651976642</v>
      </c>
      <c r="R29" s="8">
        <f t="shared" si="1"/>
        <v>5950.6854274711895</v>
      </c>
      <c r="S29" s="8">
        <f t="shared" si="1"/>
        <v>3095.4991631746616</v>
      </c>
      <c r="T29" s="8">
        <f t="shared" si="1"/>
        <v>26.887725621967547</v>
      </c>
      <c r="U29" s="8">
        <f t="shared" si="1"/>
        <v>-3271.1024168877902</v>
      </c>
      <c r="V29" s="8">
        <f t="shared" si="1"/>
        <v>-6571.1024168877902</v>
      </c>
      <c r="W29" s="8">
        <f t="shared" si="1"/>
        <v>128.89758311220976</v>
      </c>
      <c r="X29" s="8">
        <f t="shared" si="1"/>
        <v>-3161.4673225501524</v>
      </c>
      <c r="Y29" s="8">
        <f t="shared" si="1"/>
        <v>-3161.4673225501524</v>
      </c>
      <c r="Z29" s="8">
        <f t="shared" si="1"/>
        <v>-3161.4673225501524</v>
      </c>
      <c r="AA29" s="8">
        <f t="shared" si="1"/>
        <v>-3161.4673225501524</v>
      </c>
      <c r="AB29" s="8">
        <f t="shared" si="1"/>
        <v>-3161.4673225501524</v>
      </c>
      <c r="AC29" s="8">
        <f t="shared" si="1"/>
        <v>-3161.4673225501524</v>
      </c>
      <c r="AD29" s="8">
        <f t="shared" si="1"/>
        <v>-3161.4673225501524</v>
      </c>
      <c r="AE29" s="8">
        <f t="shared" si="1"/>
        <v>-3161.4673225501524</v>
      </c>
      <c r="AF29" s="8">
        <f t="shared" si="1"/>
        <v>-3161.4673225501524</v>
      </c>
      <c r="AG29" s="8">
        <f t="shared" si="1"/>
        <v>-3161.4673225501524</v>
      </c>
      <c r="AH29" s="8">
        <f t="shared" si="1"/>
        <v>-3161.4673225501524</v>
      </c>
      <c r="AI29" s="8">
        <f t="shared" si="1"/>
        <v>-3161.4673225501524</v>
      </c>
    </row>
    <row r="30" spans="2:35" x14ac:dyDescent="0.25">
      <c r="B30" t="s">
        <v>2</v>
      </c>
      <c r="D30" s="9">
        <f>C20</f>
        <v>3.5000000000000003E-2</v>
      </c>
      <c r="E30" s="1">
        <f>D30</f>
        <v>3.5000000000000003E-2</v>
      </c>
      <c r="F30" s="1">
        <f t="shared" ref="F30:AI30" si="2">E30</f>
        <v>3.5000000000000003E-2</v>
      </c>
      <c r="G30" s="1">
        <f t="shared" si="2"/>
        <v>3.5000000000000003E-2</v>
      </c>
      <c r="H30" s="1">
        <f t="shared" si="2"/>
        <v>3.5000000000000003E-2</v>
      </c>
      <c r="I30" s="1">
        <f t="shared" si="2"/>
        <v>3.5000000000000003E-2</v>
      </c>
      <c r="J30" s="1">
        <f t="shared" si="2"/>
        <v>3.5000000000000003E-2</v>
      </c>
      <c r="K30" s="1">
        <f t="shared" si="2"/>
        <v>3.5000000000000003E-2</v>
      </c>
      <c r="L30" s="1">
        <f t="shared" si="2"/>
        <v>3.5000000000000003E-2</v>
      </c>
      <c r="M30" s="1">
        <f t="shared" si="2"/>
        <v>3.5000000000000003E-2</v>
      </c>
      <c r="N30" s="1">
        <f t="shared" si="2"/>
        <v>3.5000000000000003E-2</v>
      </c>
      <c r="O30" s="1">
        <f t="shared" si="2"/>
        <v>3.5000000000000003E-2</v>
      </c>
      <c r="P30" s="1">
        <f t="shared" si="2"/>
        <v>3.5000000000000003E-2</v>
      </c>
      <c r="Q30" s="1">
        <f t="shared" si="2"/>
        <v>3.5000000000000003E-2</v>
      </c>
      <c r="R30" s="1">
        <f t="shared" si="2"/>
        <v>3.5000000000000003E-2</v>
      </c>
      <c r="S30" s="1">
        <f t="shared" si="2"/>
        <v>3.5000000000000003E-2</v>
      </c>
      <c r="T30" s="1">
        <f t="shared" si="2"/>
        <v>3.5000000000000003E-2</v>
      </c>
      <c r="U30" s="1">
        <f t="shared" si="2"/>
        <v>3.5000000000000003E-2</v>
      </c>
      <c r="V30" s="1">
        <f t="shared" si="2"/>
        <v>3.5000000000000003E-2</v>
      </c>
      <c r="W30" s="1">
        <f t="shared" si="2"/>
        <v>3.5000000000000003E-2</v>
      </c>
      <c r="X30" s="1">
        <f t="shared" si="2"/>
        <v>3.5000000000000003E-2</v>
      </c>
      <c r="Y30" s="1">
        <f t="shared" si="2"/>
        <v>3.5000000000000003E-2</v>
      </c>
      <c r="Z30" s="1">
        <f t="shared" si="2"/>
        <v>3.5000000000000003E-2</v>
      </c>
      <c r="AA30" s="1">
        <f t="shared" si="2"/>
        <v>3.5000000000000003E-2</v>
      </c>
      <c r="AB30" s="1">
        <f t="shared" si="2"/>
        <v>3.5000000000000003E-2</v>
      </c>
      <c r="AC30" s="1">
        <f t="shared" si="2"/>
        <v>3.5000000000000003E-2</v>
      </c>
      <c r="AD30" s="1">
        <f t="shared" si="2"/>
        <v>3.5000000000000003E-2</v>
      </c>
      <c r="AE30" s="1">
        <f t="shared" si="2"/>
        <v>3.5000000000000003E-2</v>
      </c>
      <c r="AF30" s="1">
        <f t="shared" si="2"/>
        <v>3.5000000000000003E-2</v>
      </c>
      <c r="AG30" s="1">
        <f t="shared" si="2"/>
        <v>3.5000000000000003E-2</v>
      </c>
      <c r="AH30" s="1">
        <f t="shared" si="2"/>
        <v>3.5000000000000003E-2</v>
      </c>
      <c r="AI30" s="1">
        <f t="shared" si="2"/>
        <v>3.5000000000000003E-2</v>
      </c>
    </row>
    <row r="31" spans="2:35" x14ac:dyDescent="0.25">
      <c r="B31" t="s">
        <v>1</v>
      </c>
      <c r="D31" s="10">
        <f>D29*D30</f>
        <v>3367.0000000000005</v>
      </c>
      <c r="E31" s="3">
        <f t="shared" ref="E31:AI31" si="3">E29*E30</f>
        <v>1753.18325</v>
      </c>
      <c r="F31" s="3">
        <f t="shared" si="3"/>
        <v>1768.7336979375</v>
      </c>
      <c r="G31" s="3">
        <f t="shared" si="3"/>
        <v>1785.4465418583281</v>
      </c>
      <c r="H31" s="3">
        <f t="shared" si="3"/>
        <v>1803.4086708622383</v>
      </c>
      <c r="I31" s="3">
        <f t="shared" si="3"/>
        <v>1822.7134690091905</v>
      </c>
      <c r="J31" s="3">
        <f t="shared" si="3"/>
        <v>1843.4613008176273</v>
      </c>
      <c r="K31" s="3">
        <f t="shared" si="3"/>
        <v>1865.7600330537448</v>
      </c>
      <c r="L31" s="3">
        <f t="shared" si="3"/>
        <v>1889.7255955245123</v>
      </c>
      <c r="M31" s="3">
        <f t="shared" si="3"/>
        <v>1915.4825837899698</v>
      </c>
      <c r="N31" s="3">
        <f t="shared" si="3"/>
        <v>543.16490692826972</v>
      </c>
      <c r="O31" s="3">
        <f t="shared" si="3"/>
        <v>468.26648372115795</v>
      </c>
      <c r="P31" s="3">
        <f t="shared" si="3"/>
        <v>387.76940337931455</v>
      </c>
      <c r="Q31" s="3">
        <f t="shared" si="3"/>
        <v>301.25516628191826</v>
      </c>
      <c r="R31" s="3">
        <f t="shared" si="3"/>
        <v>208.27398996149165</v>
      </c>
      <c r="S31" s="3">
        <f t="shared" si="3"/>
        <v>108.34247071111317</v>
      </c>
      <c r="T31" s="3">
        <f t="shared" si="3"/>
        <v>0.94107039676886428</v>
      </c>
      <c r="U31" s="3">
        <f t="shared" si="3"/>
        <v>-114.48858459107267</v>
      </c>
      <c r="V31" s="3">
        <f t="shared" si="3"/>
        <v>-229.98858459107268</v>
      </c>
      <c r="W31" s="3">
        <f t="shared" si="3"/>
        <v>4.5114154089273422</v>
      </c>
      <c r="X31" s="3">
        <f t="shared" si="3"/>
        <v>-110.65135628925535</v>
      </c>
      <c r="Y31" s="3">
        <f t="shared" si="3"/>
        <v>-110.65135628925535</v>
      </c>
      <c r="Z31" s="3">
        <f t="shared" si="3"/>
        <v>-110.65135628925535</v>
      </c>
      <c r="AA31" s="3">
        <f t="shared" si="3"/>
        <v>-110.65135628925535</v>
      </c>
      <c r="AB31" s="3">
        <f t="shared" si="3"/>
        <v>-110.65135628925535</v>
      </c>
      <c r="AC31" s="3">
        <f t="shared" si="3"/>
        <v>-110.65135628925535</v>
      </c>
      <c r="AD31" s="3">
        <f t="shared" si="3"/>
        <v>-110.65135628925535</v>
      </c>
      <c r="AE31" s="3">
        <f t="shared" si="3"/>
        <v>-110.65135628925535</v>
      </c>
      <c r="AF31" s="3">
        <f t="shared" si="3"/>
        <v>-110.65135628925535</v>
      </c>
      <c r="AG31" s="3">
        <f t="shared" si="3"/>
        <v>-110.65135628925535</v>
      </c>
      <c r="AH31" s="3">
        <f t="shared" si="3"/>
        <v>-110.65135628925535</v>
      </c>
      <c r="AI31" s="3">
        <f t="shared" si="3"/>
        <v>-110.65135628925535</v>
      </c>
    </row>
    <row r="32" spans="2:35" x14ac:dyDescent="0.25">
      <c r="B32" t="s">
        <v>4</v>
      </c>
      <c r="D32" s="9">
        <f>C14</f>
        <v>0.15</v>
      </c>
      <c r="E32" s="4">
        <f>D32</f>
        <v>0.15</v>
      </c>
      <c r="F32" s="4">
        <f t="shared" ref="F32:AI32" si="4">E32</f>
        <v>0.15</v>
      </c>
      <c r="G32" s="4">
        <f t="shared" si="4"/>
        <v>0.15</v>
      </c>
      <c r="H32" s="4">
        <f t="shared" si="4"/>
        <v>0.15</v>
      </c>
      <c r="I32" s="4">
        <f t="shared" si="4"/>
        <v>0.15</v>
      </c>
      <c r="J32" s="4">
        <f t="shared" si="4"/>
        <v>0.15</v>
      </c>
      <c r="K32" s="4">
        <f t="shared" si="4"/>
        <v>0.15</v>
      </c>
      <c r="L32" s="4">
        <f t="shared" si="4"/>
        <v>0.15</v>
      </c>
      <c r="M32" s="4">
        <f t="shared" si="4"/>
        <v>0.15</v>
      </c>
      <c r="N32" s="4">
        <f t="shared" si="4"/>
        <v>0.15</v>
      </c>
      <c r="O32" s="4">
        <f t="shared" si="4"/>
        <v>0.15</v>
      </c>
      <c r="P32" s="4">
        <f t="shared" si="4"/>
        <v>0.15</v>
      </c>
      <c r="Q32" s="4">
        <f t="shared" si="4"/>
        <v>0.15</v>
      </c>
      <c r="R32" s="4">
        <f t="shared" si="4"/>
        <v>0.15</v>
      </c>
      <c r="S32" s="4">
        <f t="shared" si="4"/>
        <v>0.15</v>
      </c>
      <c r="T32" s="4">
        <f t="shared" si="4"/>
        <v>0.15</v>
      </c>
      <c r="U32" s="4">
        <f t="shared" si="4"/>
        <v>0.15</v>
      </c>
      <c r="V32" s="4">
        <f t="shared" si="4"/>
        <v>0.15</v>
      </c>
      <c r="W32" s="4">
        <f t="shared" si="4"/>
        <v>0.15</v>
      </c>
      <c r="X32" s="4">
        <f t="shared" si="4"/>
        <v>0.15</v>
      </c>
      <c r="Y32" s="4">
        <f t="shared" si="4"/>
        <v>0.15</v>
      </c>
      <c r="Z32" s="4">
        <f t="shared" si="4"/>
        <v>0.15</v>
      </c>
      <c r="AA32" s="4">
        <f t="shared" si="4"/>
        <v>0.15</v>
      </c>
      <c r="AB32" s="4">
        <f t="shared" si="4"/>
        <v>0.15</v>
      </c>
      <c r="AC32" s="4">
        <f t="shared" si="4"/>
        <v>0.15</v>
      </c>
      <c r="AD32" s="4">
        <f t="shared" si="4"/>
        <v>0.15</v>
      </c>
      <c r="AE32" s="4">
        <f t="shared" si="4"/>
        <v>0.15</v>
      </c>
      <c r="AF32" s="4">
        <f t="shared" si="4"/>
        <v>0.15</v>
      </c>
      <c r="AG32" s="4">
        <f t="shared" si="4"/>
        <v>0.15</v>
      </c>
      <c r="AH32" s="4">
        <f t="shared" si="4"/>
        <v>0.15</v>
      </c>
      <c r="AI32" s="4">
        <f t="shared" si="4"/>
        <v>0.15</v>
      </c>
    </row>
    <row r="33" spans="2:35" x14ac:dyDescent="0.25">
      <c r="B33" t="s">
        <v>5</v>
      </c>
      <c r="D33" s="10">
        <f>IF((D31*D32)&lt;0,0,(D31*D32))</f>
        <v>505.05000000000007</v>
      </c>
      <c r="E33" s="10">
        <f t="shared" ref="E33:AI33" si="5">IF((E31*E32)&lt;0,0,(E31*E32))</f>
        <v>262.9774875</v>
      </c>
      <c r="F33" s="10">
        <f t="shared" si="5"/>
        <v>265.31005469062501</v>
      </c>
      <c r="G33" s="10">
        <f t="shared" si="5"/>
        <v>267.81698127874921</v>
      </c>
      <c r="H33" s="10">
        <f t="shared" si="5"/>
        <v>270.51130062933572</v>
      </c>
      <c r="I33" s="10">
        <f t="shared" si="5"/>
        <v>273.40702035137855</v>
      </c>
      <c r="J33" s="10">
        <f t="shared" si="5"/>
        <v>276.51919512264408</v>
      </c>
      <c r="K33" s="10">
        <f t="shared" si="5"/>
        <v>279.86400495806168</v>
      </c>
      <c r="L33" s="10">
        <f t="shared" si="5"/>
        <v>283.45883932867685</v>
      </c>
      <c r="M33" s="10">
        <f t="shared" si="5"/>
        <v>287.32238756849546</v>
      </c>
      <c r="N33" s="10">
        <f t="shared" si="5"/>
        <v>81.474736039240454</v>
      </c>
      <c r="O33" s="10">
        <f t="shared" si="5"/>
        <v>70.23997255817369</v>
      </c>
      <c r="P33" s="10">
        <f t="shared" si="5"/>
        <v>58.165410506897182</v>
      </c>
      <c r="Q33" s="10">
        <f t="shared" si="5"/>
        <v>45.188274942287741</v>
      </c>
      <c r="R33" s="10">
        <f t="shared" si="5"/>
        <v>31.241098494223746</v>
      </c>
      <c r="S33" s="10">
        <f t="shared" si="5"/>
        <v>16.251370606666974</v>
      </c>
      <c r="T33" s="10">
        <f t="shared" si="5"/>
        <v>0.14116055951532963</v>
      </c>
      <c r="U33" s="10">
        <f t="shared" si="5"/>
        <v>0</v>
      </c>
      <c r="V33" s="10">
        <f t="shared" si="5"/>
        <v>0</v>
      </c>
      <c r="W33" s="10">
        <f t="shared" si="5"/>
        <v>0.67671231133910126</v>
      </c>
      <c r="X33" s="10">
        <f t="shared" si="5"/>
        <v>0</v>
      </c>
      <c r="Y33" s="10">
        <f t="shared" si="5"/>
        <v>0</v>
      </c>
      <c r="Z33" s="10">
        <f t="shared" si="5"/>
        <v>0</v>
      </c>
      <c r="AA33" s="10">
        <f t="shared" si="5"/>
        <v>0</v>
      </c>
      <c r="AB33" s="10">
        <f t="shared" si="5"/>
        <v>0</v>
      </c>
      <c r="AC33" s="10">
        <f t="shared" si="5"/>
        <v>0</v>
      </c>
      <c r="AD33" s="10">
        <f t="shared" si="5"/>
        <v>0</v>
      </c>
      <c r="AE33" s="10">
        <f t="shared" si="5"/>
        <v>0</v>
      </c>
      <c r="AF33" s="10">
        <f t="shared" si="5"/>
        <v>0</v>
      </c>
      <c r="AG33" s="10">
        <f t="shared" si="5"/>
        <v>0</v>
      </c>
      <c r="AH33" s="10">
        <f t="shared" si="5"/>
        <v>0</v>
      </c>
      <c r="AI33" s="10">
        <f t="shared" si="5"/>
        <v>0</v>
      </c>
    </row>
    <row r="34" spans="2:35" x14ac:dyDescent="0.25">
      <c r="B34" t="s">
        <v>6</v>
      </c>
      <c r="D34" s="10">
        <f>IF((D31-D33)&lt;0,0,(D31-D33))</f>
        <v>2861.9500000000003</v>
      </c>
      <c r="E34" s="10">
        <f t="shared" ref="E34:AI34" si="6">IF((E31-E33)&lt;0,0,(E31-E33))</f>
        <v>1490.2057625</v>
      </c>
      <c r="F34" s="10">
        <f t="shared" si="6"/>
        <v>1503.4236432468749</v>
      </c>
      <c r="G34" s="10">
        <f t="shared" si="6"/>
        <v>1517.629560579579</v>
      </c>
      <c r="H34" s="10">
        <f t="shared" si="6"/>
        <v>1532.8973702329026</v>
      </c>
      <c r="I34" s="10">
        <f t="shared" si="6"/>
        <v>1549.3064486578119</v>
      </c>
      <c r="J34" s="10">
        <f t="shared" si="6"/>
        <v>1566.9421056949832</v>
      </c>
      <c r="K34" s="10">
        <f t="shared" si="6"/>
        <v>1585.8960280956831</v>
      </c>
      <c r="L34" s="10">
        <f t="shared" si="6"/>
        <v>1606.2667561958356</v>
      </c>
      <c r="M34" s="10">
        <f t="shared" si="6"/>
        <v>1628.1601962214743</v>
      </c>
      <c r="N34" s="10">
        <f t="shared" si="6"/>
        <v>461.69017088902928</v>
      </c>
      <c r="O34" s="10">
        <f t="shared" si="6"/>
        <v>398.02651116298426</v>
      </c>
      <c r="P34" s="10">
        <f t="shared" si="6"/>
        <v>329.60399287241739</v>
      </c>
      <c r="Q34" s="10">
        <f t="shared" si="6"/>
        <v>256.0668913396305</v>
      </c>
      <c r="R34" s="10">
        <f t="shared" si="6"/>
        <v>177.03289146726792</v>
      </c>
      <c r="S34" s="10">
        <f t="shared" si="6"/>
        <v>92.091100104446184</v>
      </c>
      <c r="T34" s="10">
        <f t="shared" si="6"/>
        <v>0.79990983725353471</v>
      </c>
      <c r="U34" s="10">
        <f t="shared" si="6"/>
        <v>0</v>
      </c>
      <c r="V34" s="10">
        <f t="shared" si="6"/>
        <v>0</v>
      </c>
      <c r="W34" s="10">
        <f t="shared" si="6"/>
        <v>3.8347030975882408</v>
      </c>
      <c r="X34" s="10">
        <f t="shared" si="6"/>
        <v>0</v>
      </c>
      <c r="Y34" s="10">
        <f t="shared" si="6"/>
        <v>0</v>
      </c>
      <c r="Z34" s="10">
        <f t="shared" si="6"/>
        <v>0</v>
      </c>
      <c r="AA34" s="10">
        <f t="shared" si="6"/>
        <v>0</v>
      </c>
      <c r="AB34" s="10">
        <f t="shared" si="6"/>
        <v>0</v>
      </c>
      <c r="AC34" s="10">
        <f t="shared" si="6"/>
        <v>0</v>
      </c>
      <c r="AD34" s="10">
        <f t="shared" si="6"/>
        <v>0</v>
      </c>
      <c r="AE34" s="10">
        <f t="shared" si="6"/>
        <v>0</v>
      </c>
      <c r="AF34" s="10">
        <f t="shared" si="6"/>
        <v>0</v>
      </c>
      <c r="AG34" s="10">
        <f t="shared" si="6"/>
        <v>0</v>
      </c>
      <c r="AH34" s="10">
        <f t="shared" si="6"/>
        <v>0</v>
      </c>
      <c r="AI34" s="10">
        <f t="shared" si="6"/>
        <v>0</v>
      </c>
    </row>
    <row r="35" spans="2:35" x14ac:dyDescent="0.25">
      <c r="D35" s="11"/>
    </row>
    <row r="36" spans="2:35" x14ac:dyDescent="0.25">
      <c r="B36" t="s">
        <v>7</v>
      </c>
      <c r="D36" s="9">
        <f>C21</f>
        <v>4.4999999999999998E-2</v>
      </c>
      <c r="E36" s="1">
        <f>D36</f>
        <v>4.4999999999999998E-2</v>
      </c>
      <c r="F36" s="1">
        <f t="shared" ref="F36:AI36" si="7">E36</f>
        <v>4.4999999999999998E-2</v>
      </c>
      <c r="G36" s="1">
        <f t="shared" si="7"/>
        <v>4.4999999999999998E-2</v>
      </c>
      <c r="H36" s="1">
        <f t="shared" si="7"/>
        <v>4.4999999999999998E-2</v>
      </c>
      <c r="I36" s="1">
        <f t="shared" si="7"/>
        <v>4.4999999999999998E-2</v>
      </c>
      <c r="J36" s="1">
        <f t="shared" si="7"/>
        <v>4.4999999999999998E-2</v>
      </c>
      <c r="K36" s="1">
        <f t="shared" si="7"/>
        <v>4.4999999999999998E-2</v>
      </c>
      <c r="L36" s="1">
        <f t="shared" si="7"/>
        <v>4.4999999999999998E-2</v>
      </c>
      <c r="M36" s="1">
        <f t="shared" si="7"/>
        <v>4.4999999999999998E-2</v>
      </c>
      <c r="N36" s="1">
        <f t="shared" si="7"/>
        <v>4.4999999999999998E-2</v>
      </c>
      <c r="O36" s="1">
        <f t="shared" si="7"/>
        <v>4.4999999999999998E-2</v>
      </c>
      <c r="P36" s="1">
        <f t="shared" si="7"/>
        <v>4.4999999999999998E-2</v>
      </c>
      <c r="Q36" s="1">
        <f t="shared" si="7"/>
        <v>4.4999999999999998E-2</v>
      </c>
      <c r="R36" s="1">
        <f t="shared" si="7"/>
        <v>4.4999999999999998E-2</v>
      </c>
      <c r="S36" s="1">
        <f t="shared" si="7"/>
        <v>4.4999999999999998E-2</v>
      </c>
      <c r="T36" s="1">
        <f t="shared" si="7"/>
        <v>4.4999999999999998E-2</v>
      </c>
      <c r="U36" s="1">
        <f t="shared" si="7"/>
        <v>4.4999999999999998E-2</v>
      </c>
      <c r="V36" s="1">
        <f t="shared" si="7"/>
        <v>4.4999999999999998E-2</v>
      </c>
      <c r="W36" s="1">
        <f t="shared" si="7"/>
        <v>4.4999999999999998E-2</v>
      </c>
      <c r="X36" s="1">
        <f t="shared" si="7"/>
        <v>4.4999999999999998E-2</v>
      </c>
      <c r="Y36" s="1">
        <f t="shared" si="7"/>
        <v>4.4999999999999998E-2</v>
      </c>
      <c r="Z36" s="1">
        <f t="shared" si="7"/>
        <v>4.4999999999999998E-2</v>
      </c>
      <c r="AA36" s="1">
        <f t="shared" si="7"/>
        <v>4.4999999999999998E-2</v>
      </c>
      <c r="AB36" s="1">
        <f t="shared" si="7"/>
        <v>4.4999999999999998E-2</v>
      </c>
      <c r="AC36" s="1">
        <f t="shared" si="7"/>
        <v>4.4999999999999998E-2</v>
      </c>
      <c r="AD36" s="1">
        <f t="shared" si="7"/>
        <v>4.4999999999999998E-2</v>
      </c>
      <c r="AE36" s="1">
        <f t="shared" si="7"/>
        <v>4.4999999999999998E-2</v>
      </c>
      <c r="AF36" s="1">
        <f t="shared" si="7"/>
        <v>4.4999999999999998E-2</v>
      </c>
      <c r="AG36" s="1">
        <f t="shared" si="7"/>
        <v>4.4999999999999998E-2</v>
      </c>
      <c r="AH36" s="1">
        <f t="shared" si="7"/>
        <v>4.4999999999999998E-2</v>
      </c>
      <c r="AI36" s="1">
        <f t="shared" si="7"/>
        <v>4.4999999999999998E-2</v>
      </c>
    </row>
    <row r="37" spans="2:35" x14ac:dyDescent="0.25">
      <c r="B37" t="s">
        <v>8</v>
      </c>
      <c r="D37" s="10">
        <f>IF((D36*D29)&lt;0,0,(D36*D29))</f>
        <v>4329</v>
      </c>
      <c r="E37" s="10">
        <f t="shared" ref="E37:AI37" si="8">IF((E36*E29)&lt;0,0,(E36*E29))</f>
        <v>2254.0927499999998</v>
      </c>
      <c r="F37" s="10">
        <f t="shared" si="8"/>
        <v>2274.0861830624995</v>
      </c>
      <c r="G37" s="10">
        <f t="shared" si="8"/>
        <v>2295.5741252464218</v>
      </c>
      <c r="H37" s="10">
        <f t="shared" si="8"/>
        <v>2318.6682911085918</v>
      </c>
      <c r="I37" s="10">
        <f t="shared" si="8"/>
        <v>2343.4887458689586</v>
      </c>
      <c r="J37" s="10">
        <f t="shared" si="8"/>
        <v>2370.1645296226634</v>
      </c>
      <c r="K37" s="10">
        <f t="shared" si="8"/>
        <v>2398.8343282119572</v>
      </c>
      <c r="L37" s="10">
        <f t="shared" si="8"/>
        <v>2429.6471942458011</v>
      </c>
      <c r="M37" s="10">
        <f t="shared" si="8"/>
        <v>2462.7633220156749</v>
      </c>
      <c r="N37" s="10">
        <f t="shared" si="8"/>
        <v>698.3548803363467</v>
      </c>
      <c r="O37" s="10">
        <f t="shared" si="8"/>
        <v>602.05690764148869</v>
      </c>
      <c r="P37" s="10">
        <f t="shared" si="8"/>
        <v>498.56066148769003</v>
      </c>
      <c r="Q37" s="10">
        <f t="shared" si="8"/>
        <v>387.32807093389488</v>
      </c>
      <c r="R37" s="10">
        <f t="shared" si="8"/>
        <v>267.78084423620351</v>
      </c>
      <c r="S37" s="10">
        <f t="shared" si="8"/>
        <v>139.29746234285977</v>
      </c>
      <c r="T37" s="10">
        <f t="shared" si="8"/>
        <v>1.2099476529885396</v>
      </c>
      <c r="U37" s="10">
        <f t="shared" si="8"/>
        <v>0</v>
      </c>
      <c r="V37" s="10">
        <f t="shared" si="8"/>
        <v>0</v>
      </c>
      <c r="W37" s="10">
        <f t="shared" si="8"/>
        <v>5.8003912400494393</v>
      </c>
      <c r="X37" s="10">
        <f t="shared" si="8"/>
        <v>0</v>
      </c>
      <c r="Y37" s="10">
        <f t="shared" si="8"/>
        <v>0</v>
      </c>
      <c r="Z37" s="10">
        <f t="shared" si="8"/>
        <v>0</v>
      </c>
      <c r="AA37" s="10">
        <f t="shared" si="8"/>
        <v>0</v>
      </c>
      <c r="AB37" s="10">
        <f t="shared" si="8"/>
        <v>0</v>
      </c>
      <c r="AC37" s="10">
        <f t="shared" si="8"/>
        <v>0</v>
      </c>
      <c r="AD37" s="10">
        <f t="shared" si="8"/>
        <v>0</v>
      </c>
      <c r="AE37" s="10">
        <f t="shared" si="8"/>
        <v>0</v>
      </c>
      <c r="AF37" s="10">
        <f t="shared" si="8"/>
        <v>0</v>
      </c>
      <c r="AG37" s="10">
        <f t="shared" si="8"/>
        <v>0</v>
      </c>
      <c r="AH37" s="10">
        <f t="shared" si="8"/>
        <v>0</v>
      </c>
      <c r="AI37" s="10">
        <f t="shared" si="8"/>
        <v>0</v>
      </c>
    </row>
    <row r="38" spans="2:35" x14ac:dyDescent="0.25">
      <c r="D38" s="11"/>
    </row>
    <row r="39" spans="2:35" x14ac:dyDescent="0.25">
      <c r="B39" t="s">
        <v>9</v>
      </c>
      <c r="D39" s="10">
        <f>D29+D34+D37</f>
        <v>103390.95</v>
      </c>
      <c r="E39" s="3">
        <f t="shared" ref="E39:AI39" si="9">E29+E34+E37</f>
        <v>53835.248512499995</v>
      </c>
      <c r="F39" s="3">
        <f t="shared" si="9"/>
        <v>54312.75833880937</v>
      </c>
      <c r="G39" s="3">
        <f t="shared" si="9"/>
        <v>54825.962024635373</v>
      </c>
      <c r="H39" s="3">
        <f t="shared" si="9"/>
        <v>55377.527685976864</v>
      </c>
      <c r="I39" s="3">
        <f t="shared" si="9"/>
        <v>55970.322880503634</v>
      </c>
      <c r="J39" s="3">
        <f t="shared" si="9"/>
        <v>56607.429515821277</v>
      </c>
      <c r="K39" s="3">
        <f t="shared" si="9"/>
        <v>57292.159872128919</v>
      </c>
      <c r="L39" s="3">
        <f t="shared" si="9"/>
        <v>58028.073822570557</v>
      </c>
      <c r="M39" s="3">
        <f t="shared" si="9"/>
        <v>58818.997340807706</v>
      </c>
      <c r="N39" s="3">
        <f t="shared" si="9"/>
        <v>16679.042392033083</v>
      </c>
      <c r="O39" s="3">
        <f t="shared" si="9"/>
        <v>14379.125810837557</v>
      </c>
      <c r="P39" s="3">
        <f t="shared" si="9"/>
        <v>11907.290465197664</v>
      </c>
      <c r="Q39" s="3">
        <f t="shared" si="9"/>
        <v>9250.6854274711895</v>
      </c>
      <c r="R39" s="3">
        <f t="shared" si="9"/>
        <v>6395.4991631746616</v>
      </c>
      <c r="S39" s="3">
        <f t="shared" si="9"/>
        <v>3326.8877256219675</v>
      </c>
      <c r="T39" s="3">
        <f t="shared" si="9"/>
        <v>28.89758311220962</v>
      </c>
      <c r="U39" s="3">
        <f t="shared" si="9"/>
        <v>-3271.1024168877902</v>
      </c>
      <c r="V39" s="3">
        <f t="shared" si="9"/>
        <v>-6571.1024168877902</v>
      </c>
      <c r="W39" s="3">
        <f t="shared" si="9"/>
        <v>138.53267744984743</v>
      </c>
      <c r="X39" s="3">
        <f t="shared" si="9"/>
        <v>-3161.4673225501524</v>
      </c>
      <c r="Y39" s="3">
        <f t="shared" si="9"/>
        <v>-3161.4673225501524</v>
      </c>
      <c r="Z39" s="3">
        <f t="shared" si="9"/>
        <v>-3161.4673225501524</v>
      </c>
      <c r="AA39" s="3">
        <f t="shared" si="9"/>
        <v>-3161.4673225501524</v>
      </c>
      <c r="AB39" s="3">
        <f t="shared" si="9"/>
        <v>-3161.4673225501524</v>
      </c>
      <c r="AC39" s="3">
        <f t="shared" si="9"/>
        <v>-3161.4673225501524</v>
      </c>
      <c r="AD39" s="3">
        <f t="shared" si="9"/>
        <v>-3161.4673225501524</v>
      </c>
      <c r="AE39" s="3">
        <f t="shared" si="9"/>
        <v>-3161.4673225501524</v>
      </c>
      <c r="AF39" s="3">
        <f t="shared" si="9"/>
        <v>-3161.4673225501524</v>
      </c>
      <c r="AG39" s="3">
        <f t="shared" si="9"/>
        <v>-3161.4673225501524</v>
      </c>
      <c r="AH39" s="3">
        <f t="shared" si="9"/>
        <v>-3161.4673225501524</v>
      </c>
      <c r="AI39" s="3">
        <f t="shared" si="9"/>
        <v>-3161.4673225501524</v>
      </c>
    </row>
    <row r="40" spans="2:35" x14ac:dyDescent="0.25">
      <c r="D40" s="11"/>
    </row>
    <row r="41" spans="2:35" x14ac:dyDescent="0.25">
      <c r="B41" t="s">
        <v>42</v>
      </c>
      <c r="C41" s="2"/>
      <c r="D41" s="12">
        <v>50000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50000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2:35" x14ac:dyDescent="0.25">
      <c r="B42" t="s">
        <v>43</v>
      </c>
      <c r="C42" s="2"/>
      <c r="D42" s="12">
        <v>0</v>
      </c>
      <c r="E42" s="2"/>
      <c r="F42" s="2"/>
      <c r="G42" s="2"/>
      <c r="H42" s="2"/>
      <c r="I42" s="2"/>
      <c r="J42" s="2"/>
      <c r="K42" s="2"/>
      <c r="L42" s="2"/>
      <c r="M42" s="2">
        <v>10000</v>
      </c>
      <c r="N42" s="2"/>
      <c r="O42" s="2"/>
      <c r="P42" s="2"/>
      <c r="Q42" s="2"/>
      <c r="R42" s="2"/>
      <c r="S42" s="2"/>
      <c r="T42" s="2"/>
      <c r="U42" s="2"/>
      <c r="V42" s="2">
        <v>10000</v>
      </c>
      <c r="W42" s="2"/>
      <c r="X42" s="2"/>
      <c r="Y42" s="2"/>
      <c r="Z42" s="2"/>
      <c r="AA42" s="2"/>
      <c r="AB42" s="2"/>
      <c r="AC42" s="2">
        <v>0</v>
      </c>
      <c r="AD42" s="2"/>
      <c r="AE42" s="2"/>
      <c r="AF42" s="2"/>
      <c r="AG42" s="2"/>
      <c r="AH42" s="2"/>
      <c r="AI42" s="2"/>
    </row>
    <row r="43" spans="2:35" x14ac:dyDescent="0.25">
      <c r="B43" t="s">
        <v>44</v>
      </c>
      <c r="C43" s="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25">
      <c r="B44" t="s">
        <v>45</v>
      </c>
      <c r="C44" s="2">
        <v>500</v>
      </c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25">
      <c r="B45" t="s">
        <v>46</v>
      </c>
      <c r="C45" s="2">
        <v>1200</v>
      </c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25">
      <c r="B46" t="s">
        <v>47</v>
      </c>
      <c r="C46" s="2">
        <v>1000</v>
      </c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25">
      <c r="B47" t="s">
        <v>48</v>
      </c>
      <c r="C47" s="2">
        <v>600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25">
      <c r="B48" t="s">
        <v>49</v>
      </c>
      <c r="C48" s="2">
        <f>SUM(C44:C47)</f>
        <v>3300</v>
      </c>
      <c r="D48" s="12">
        <f>IF(D23&lt;$C$6,C48,0)</f>
        <v>3300</v>
      </c>
      <c r="E48" s="12">
        <f t="shared" ref="E48:AI48" si="10">IF(E23&lt;$C$6,D48,0)</f>
        <v>3300</v>
      </c>
      <c r="F48" s="12">
        <f t="shared" si="10"/>
        <v>3300</v>
      </c>
      <c r="G48" s="12">
        <f t="shared" si="10"/>
        <v>3300</v>
      </c>
      <c r="H48" s="12">
        <f t="shared" si="10"/>
        <v>3300</v>
      </c>
      <c r="I48" s="12">
        <f t="shared" si="10"/>
        <v>3300</v>
      </c>
      <c r="J48" s="12">
        <f t="shared" si="10"/>
        <v>3300</v>
      </c>
      <c r="K48" s="12">
        <f t="shared" si="10"/>
        <v>3300</v>
      </c>
      <c r="L48" s="12">
        <f t="shared" si="10"/>
        <v>3300</v>
      </c>
      <c r="M48" s="12">
        <f t="shared" si="10"/>
        <v>3300</v>
      </c>
      <c r="N48" s="12">
        <f t="shared" si="10"/>
        <v>3300</v>
      </c>
      <c r="O48" s="12">
        <f t="shared" si="10"/>
        <v>3300</v>
      </c>
      <c r="P48" s="12">
        <f t="shared" si="10"/>
        <v>3300</v>
      </c>
      <c r="Q48" s="12">
        <f t="shared" si="10"/>
        <v>3300</v>
      </c>
      <c r="R48" s="12">
        <f t="shared" si="10"/>
        <v>3300</v>
      </c>
      <c r="S48" s="12">
        <f t="shared" si="10"/>
        <v>3300</v>
      </c>
      <c r="T48" s="12">
        <f t="shared" si="10"/>
        <v>3300</v>
      </c>
      <c r="U48" s="12">
        <f t="shared" si="10"/>
        <v>3300</v>
      </c>
      <c r="V48" s="12">
        <f t="shared" si="10"/>
        <v>3300</v>
      </c>
      <c r="W48" s="12">
        <f t="shared" si="10"/>
        <v>3300</v>
      </c>
      <c r="X48" s="12">
        <f t="shared" si="10"/>
        <v>0</v>
      </c>
      <c r="Y48" s="12">
        <f t="shared" si="10"/>
        <v>0</v>
      </c>
      <c r="Z48" s="12">
        <f t="shared" si="10"/>
        <v>0</v>
      </c>
      <c r="AA48" s="12">
        <f t="shared" si="10"/>
        <v>0</v>
      </c>
      <c r="AB48" s="12">
        <f t="shared" si="10"/>
        <v>0</v>
      </c>
      <c r="AC48" s="12">
        <f t="shared" si="10"/>
        <v>0</v>
      </c>
      <c r="AD48" s="12">
        <f t="shared" si="10"/>
        <v>0</v>
      </c>
      <c r="AE48" s="12">
        <f t="shared" si="10"/>
        <v>0</v>
      </c>
      <c r="AF48" s="12">
        <f t="shared" si="10"/>
        <v>0</v>
      </c>
      <c r="AG48" s="12">
        <f t="shared" si="10"/>
        <v>0</v>
      </c>
      <c r="AH48" s="12">
        <f t="shared" si="10"/>
        <v>0</v>
      </c>
      <c r="AI48" s="12">
        <f t="shared" si="10"/>
        <v>0</v>
      </c>
    </row>
    <row r="49" spans="2:36" x14ac:dyDescent="0.25"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6" x14ac:dyDescent="0.25">
      <c r="B50" t="s">
        <v>16</v>
      </c>
      <c r="C50" s="2"/>
      <c r="D50" s="6">
        <f>D41-D42+D48</f>
        <v>53300</v>
      </c>
      <c r="E50" s="6">
        <f t="shared" ref="E50:AI50" si="11">E41-E42+E48</f>
        <v>3300</v>
      </c>
      <c r="F50" s="6">
        <f t="shared" si="11"/>
        <v>3300</v>
      </c>
      <c r="G50" s="6">
        <f t="shared" si="11"/>
        <v>3300</v>
      </c>
      <c r="H50" s="6">
        <f t="shared" si="11"/>
        <v>3300</v>
      </c>
      <c r="I50" s="6">
        <f t="shared" si="11"/>
        <v>3300</v>
      </c>
      <c r="J50" s="6">
        <f t="shared" si="11"/>
        <v>3300</v>
      </c>
      <c r="K50" s="6">
        <f t="shared" si="11"/>
        <v>3300</v>
      </c>
      <c r="L50" s="6">
        <f t="shared" si="11"/>
        <v>3300</v>
      </c>
      <c r="M50" s="6">
        <f t="shared" si="11"/>
        <v>43300</v>
      </c>
      <c r="N50" s="6">
        <f t="shared" si="11"/>
        <v>3300</v>
      </c>
      <c r="O50" s="6">
        <f t="shared" si="11"/>
        <v>3300</v>
      </c>
      <c r="P50" s="6">
        <f t="shared" si="11"/>
        <v>3300</v>
      </c>
      <c r="Q50" s="6">
        <f t="shared" si="11"/>
        <v>3300</v>
      </c>
      <c r="R50" s="6">
        <f t="shared" si="11"/>
        <v>3300</v>
      </c>
      <c r="S50" s="6">
        <f t="shared" si="11"/>
        <v>3300</v>
      </c>
      <c r="T50" s="6">
        <f t="shared" si="11"/>
        <v>3300</v>
      </c>
      <c r="U50" s="6">
        <f t="shared" si="11"/>
        <v>3300</v>
      </c>
      <c r="V50" s="6">
        <f t="shared" si="11"/>
        <v>-6700</v>
      </c>
      <c r="W50" s="6">
        <f t="shared" si="11"/>
        <v>3300</v>
      </c>
      <c r="X50" s="6">
        <f t="shared" si="11"/>
        <v>0</v>
      </c>
      <c r="Y50" s="6">
        <f t="shared" si="11"/>
        <v>0</v>
      </c>
      <c r="Z50" s="6">
        <f t="shared" si="11"/>
        <v>0</v>
      </c>
      <c r="AA50" s="6">
        <f t="shared" si="11"/>
        <v>0</v>
      </c>
      <c r="AB50" s="6">
        <f t="shared" si="11"/>
        <v>0</v>
      </c>
      <c r="AC50" s="6">
        <f t="shared" si="11"/>
        <v>0</v>
      </c>
      <c r="AD50" s="6">
        <f t="shared" si="11"/>
        <v>0</v>
      </c>
      <c r="AE50" s="6">
        <f t="shared" si="11"/>
        <v>0</v>
      </c>
      <c r="AF50" s="6">
        <f t="shared" si="11"/>
        <v>0</v>
      </c>
      <c r="AG50" s="6">
        <f t="shared" si="11"/>
        <v>0</v>
      </c>
      <c r="AH50" s="6">
        <f t="shared" si="11"/>
        <v>0</v>
      </c>
      <c r="AI50" s="6">
        <f t="shared" si="11"/>
        <v>0</v>
      </c>
    </row>
    <row r="51" spans="2:36" x14ac:dyDescent="0.25">
      <c r="B51" t="s">
        <v>11</v>
      </c>
      <c r="D51" s="9">
        <f>C16</f>
        <v>0.03</v>
      </c>
      <c r="E51" s="1">
        <f>D51</f>
        <v>0.03</v>
      </c>
      <c r="F51" s="1">
        <f t="shared" ref="F51:AI51" si="12">E51</f>
        <v>0.03</v>
      </c>
      <c r="G51" s="1">
        <f t="shared" si="12"/>
        <v>0.03</v>
      </c>
      <c r="H51" s="1">
        <f t="shared" si="12"/>
        <v>0.03</v>
      </c>
      <c r="I51" s="1">
        <f t="shared" si="12"/>
        <v>0.03</v>
      </c>
      <c r="J51" s="1">
        <f t="shared" si="12"/>
        <v>0.03</v>
      </c>
      <c r="K51" s="1">
        <f t="shared" si="12"/>
        <v>0.03</v>
      </c>
      <c r="L51" s="1">
        <f t="shared" si="12"/>
        <v>0.03</v>
      </c>
      <c r="M51" s="1">
        <f t="shared" si="12"/>
        <v>0.03</v>
      </c>
      <c r="N51" s="1">
        <f t="shared" si="12"/>
        <v>0.03</v>
      </c>
      <c r="O51" s="1">
        <f t="shared" si="12"/>
        <v>0.03</v>
      </c>
      <c r="P51" s="1">
        <f t="shared" si="12"/>
        <v>0.03</v>
      </c>
      <c r="Q51" s="1">
        <f t="shared" si="12"/>
        <v>0.03</v>
      </c>
      <c r="R51" s="1">
        <f t="shared" si="12"/>
        <v>0.03</v>
      </c>
      <c r="S51" s="1">
        <f t="shared" si="12"/>
        <v>0.03</v>
      </c>
      <c r="T51" s="1">
        <f t="shared" si="12"/>
        <v>0.03</v>
      </c>
      <c r="U51" s="1">
        <f t="shared" si="12"/>
        <v>0.03</v>
      </c>
      <c r="V51" s="1">
        <f t="shared" si="12"/>
        <v>0.03</v>
      </c>
      <c r="W51" s="1">
        <f t="shared" si="12"/>
        <v>0.03</v>
      </c>
      <c r="X51" s="1">
        <f t="shared" si="12"/>
        <v>0.03</v>
      </c>
      <c r="Y51" s="1">
        <f t="shared" si="12"/>
        <v>0.03</v>
      </c>
      <c r="Z51" s="1">
        <f t="shared" si="12"/>
        <v>0.03</v>
      </c>
      <c r="AA51" s="1">
        <f t="shared" si="12"/>
        <v>0.03</v>
      </c>
      <c r="AB51" s="1">
        <f t="shared" si="12"/>
        <v>0.03</v>
      </c>
      <c r="AC51" s="1">
        <f t="shared" si="12"/>
        <v>0.03</v>
      </c>
      <c r="AD51" s="1">
        <f t="shared" si="12"/>
        <v>0.03</v>
      </c>
      <c r="AE51" s="1">
        <f t="shared" si="12"/>
        <v>0.03</v>
      </c>
      <c r="AF51" s="1">
        <f t="shared" si="12"/>
        <v>0.03</v>
      </c>
      <c r="AG51" s="1">
        <f t="shared" si="12"/>
        <v>0.03</v>
      </c>
      <c r="AH51" s="1">
        <f t="shared" si="12"/>
        <v>0.03</v>
      </c>
      <c r="AI51" s="1">
        <f t="shared" si="12"/>
        <v>0.03</v>
      </c>
    </row>
    <row r="52" spans="2:36" x14ac:dyDescent="0.25">
      <c r="B52" s="11"/>
      <c r="C52" s="1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2:36" x14ac:dyDescent="0.25">
      <c r="B53" s="11" t="s">
        <v>14</v>
      </c>
      <c r="C53" s="11"/>
      <c r="D53" s="9">
        <f>C15</f>
        <v>1.0999999999999999E-2</v>
      </c>
      <c r="E53" s="1">
        <f>D53</f>
        <v>1.0999999999999999E-2</v>
      </c>
      <c r="F53" s="1">
        <f t="shared" ref="F53:AI53" si="13">E53</f>
        <v>1.0999999999999999E-2</v>
      </c>
      <c r="G53" s="1">
        <f t="shared" si="13"/>
        <v>1.0999999999999999E-2</v>
      </c>
      <c r="H53" s="1">
        <f t="shared" si="13"/>
        <v>1.0999999999999999E-2</v>
      </c>
      <c r="I53" s="1">
        <f t="shared" si="13"/>
        <v>1.0999999999999999E-2</v>
      </c>
      <c r="J53" s="1">
        <f t="shared" si="13"/>
        <v>1.0999999999999999E-2</v>
      </c>
      <c r="K53" s="1">
        <f t="shared" si="13"/>
        <v>1.0999999999999999E-2</v>
      </c>
      <c r="L53" s="1">
        <f t="shared" si="13"/>
        <v>1.0999999999999999E-2</v>
      </c>
      <c r="M53" s="1">
        <f t="shared" si="13"/>
        <v>1.0999999999999999E-2</v>
      </c>
      <c r="N53" s="1">
        <f t="shared" si="13"/>
        <v>1.0999999999999999E-2</v>
      </c>
      <c r="O53" s="1">
        <f t="shared" si="13"/>
        <v>1.0999999999999999E-2</v>
      </c>
      <c r="P53" s="1">
        <f t="shared" si="13"/>
        <v>1.0999999999999999E-2</v>
      </c>
      <c r="Q53" s="1">
        <f t="shared" si="13"/>
        <v>1.0999999999999999E-2</v>
      </c>
      <c r="R53" s="1">
        <f t="shared" si="13"/>
        <v>1.0999999999999999E-2</v>
      </c>
      <c r="S53" s="1">
        <f t="shared" si="13"/>
        <v>1.0999999999999999E-2</v>
      </c>
      <c r="T53" s="1">
        <f t="shared" si="13"/>
        <v>1.0999999999999999E-2</v>
      </c>
      <c r="U53" s="1">
        <f t="shared" si="13"/>
        <v>1.0999999999999999E-2</v>
      </c>
      <c r="V53" s="1">
        <f t="shared" si="13"/>
        <v>1.0999999999999999E-2</v>
      </c>
      <c r="W53" s="1">
        <f t="shared" si="13"/>
        <v>1.0999999999999999E-2</v>
      </c>
      <c r="X53" s="1">
        <f t="shared" si="13"/>
        <v>1.0999999999999999E-2</v>
      </c>
      <c r="Y53" s="1">
        <f t="shared" si="13"/>
        <v>1.0999999999999999E-2</v>
      </c>
      <c r="Z53" s="1">
        <f t="shared" si="13"/>
        <v>1.0999999999999999E-2</v>
      </c>
      <c r="AA53" s="1">
        <f t="shared" si="13"/>
        <v>1.0999999999999999E-2</v>
      </c>
      <c r="AB53" s="1">
        <f t="shared" si="13"/>
        <v>1.0999999999999999E-2</v>
      </c>
      <c r="AC53" s="1">
        <f t="shared" si="13"/>
        <v>1.0999999999999999E-2</v>
      </c>
      <c r="AD53" s="1">
        <f t="shared" si="13"/>
        <v>1.0999999999999999E-2</v>
      </c>
      <c r="AE53" s="1">
        <f t="shared" si="13"/>
        <v>1.0999999999999999E-2</v>
      </c>
      <c r="AF53" s="1">
        <f t="shared" si="13"/>
        <v>1.0999999999999999E-2</v>
      </c>
      <c r="AG53" s="1">
        <f t="shared" si="13"/>
        <v>1.0999999999999999E-2</v>
      </c>
      <c r="AH53" s="1">
        <f t="shared" si="13"/>
        <v>1.0999999999999999E-2</v>
      </c>
      <c r="AI53" s="1">
        <f t="shared" si="13"/>
        <v>1.0999999999999999E-2</v>
      </c>
    </row>
    <row r="54" spans="2:36" x14ac:dyDescent="0.25">
      <c r="B54" s="11" t="s">
        <v>15</v>
      </c>
      <c r="D54" s="2">
        <f>IF((D53*D29)&lt;0,0,(D53*D29))</f>
        <v>1058.2</v>
      </c>
      <c r="E54" s="2">
        <f t="shared" ref="E54:AI54" si="14">IF((E53*E29)&lt;0,0,(E53*E29))</f>
        <v>551.00044999999989</v>
      </c>
      <c r="F54" s="2">
        <f t="shared" si="14"/>
        <v>555.88773363749988</v>
      </c>
      <c r="G54" s="2">
        <f t="shared" si="14"/>
        <v>561.14034172690299</v>
      </c>
      <c r="H54" s="2">
        <f t="shared" si="14"/>
        <v>566.78558227098904</v>
      </c>
      <c r="I54" s="2">
        <f t="shared" si="14"/>
        <v>572.85280454574547</v>
      </c>
      <c r="J54" s="2">
        <f t="shared" si="14"/>
        <v>579.37355168553995</v>
      </c>
      <c r="K54" s="2">
        <f t="shared" si="14"/>
        <v>586.38172467403399</v>
      </c>
      <c r="L54" s="2">
        <f t="shared" si="14"/>
        <v>593.91375859341804</v>
      </c>
      <c r="M54" s="2">
        <f t="shared" si="14"/>
        <v>602.00881204827613</v>
      </c>
      <c r="N54" s="2">
        <f t="shared" si="14"/>
        <v>170.70897074888475</v>
      </c>
      <c r="O54" s="2">
        <f t="shared" si="14"/>
        <v>147.16946631236391</v>
      </c>
      <c r="P54" s="2">
        <f t="shared" si="14"/>
        <v>121.87038391921311</v>
      </c>
      <c r="Q54" s="2">
        <f t="shared" si="14"/>
        <v>94.680195117174307</v>
      </c>
      <c r="R54" s="2">
        <f t="shared" si="14"/>
        <v>65.457539702183084</v>
      </c>
      <c r="S54" s="2">
        <f t="shared" si="14"/>
        <v>34.050490794921274</v>
      </c>
      <c r="T54" s="2">
        <f t="shared" si="14"/>
        <v>0.29576498184164302</v>
      </c>
      <c r="U54" s="2">
        <f t="shared" si="14"/>
        <v>0</v>
      </c>
      <c r="V54" s="2">
        <f t="shared" si="14"/>
        <v>0</v>
      </c>
      <c r="W54" s="2">
        <f t="shared" si="14"/>
        <v>1.4178734142343072</v>
      </c>
      <c r="X54" s="2">
        <f t="shared" si="14"/>
        <v>0</v>
      </c>
      <c r="Y54" s="2">
        <f t="shared" si="14"/>
        <v>0</v>
      </c>
      <c r="Z54" s="2">
        <f t="shared" si="14"/>
        <v>0</v>
      </c>
      <c r="AA54" s="2">
        <f t="shared" si="14"/>
        <v>0</v>
      </c>
      <c r="AB54" s="2">
        <f t="shared" si="14"/>
        <v>0</v>
      </c>
      <c r="AC54" s="2">
        <f t="shared" si="14"/>
        <v>0</v>
      </c>
      <c r="AD54" s="2">
        <f t="shared" si="14"/>
        <v>0</v>
      </c>
      <c r="AE54" s="2">
        <f t="shared" si="14"/>
        <v>0</v>
      </c>
      <c r="AF54" s="2">
        <f t="shared" si="14"/>
        <v>0</v>
      </c>
      <c r="AG54" s="2">
        <f t="shared" si="14"/>
        <v>0</v>
      </c>
      <c r="AH54" s="2">
        <f t="shared" si="14"/>
        <v>0</v>
      </c>
      <c r="AI54" s="2">
        <f t="shared" si="14"/>
        <v>0</v>
      </c>
      <c r="AJ54" s="4" t="e">
        <f>AI54/AI56</f>
        <v>#DIV/0!</v>
      </c>
    </row>
    <row r="55" spans="2:36" x14ac:dyDescent="0.25">
      <c r="B55" s="11"/>
    </row>
    <row r="56" spans="2:36" x14ac:dyDescent="0.25">
      <c r="B56" t="s">
        <v>17</v>
      </c>
      <c r="D56" s="3">
        <f>IF(D23&lt;=$C$60,(D50+D54),0)</f>
        <v>0</v>
      </c>
      <c r="E56" s="3">
        <f t="shared" ref="E56:AI56" si="15">IF(E23&lt;=$C$60,(E50+E54),0)</f>
        <v>0</v>
      </c>
      <c r="F56" s="3">
        <f t="shared" si="15"/>
        <v>0</v>
      </c>
      <c r="G56" s="3">
        <f t="shared" si="15"/>
        <v>0</v>
      </c>
      <c r="H56" s="3">
        <f t="shared" si="15"/>
        <v>0</v>
      </c>
      <c r="I56" s="3">
        <f t="shared" si="15"/>
        <v>0</v>
      </c>
      <c r="J56" s="3">
        <f t="shared" si="15"/>
        <v>0</v>
      </c>
      <c r="K56" s="3">
        <f t="shared" si="15"/>
        <v>0</v>
      </c>
      <c r="L56" s="3">
        <f t="shared" si="15"/>
        <v>0</v>
      </c>
      <c r="M56" s="3">
        <f t="shared" si="15"/>
        <v>0</v>
      </c>
      <c r="N56" s="3">
        <f t="shared" si="15"/>
        <v>0</v>
      </c>
      <c r="O56" s="3">
        <f t="shared" si="15"/>
        <v>0</v>
      </c>
      <c r="P56" s="3">
        <f t="shared" si="15"/>
        <v>0</v>
      </c>
      <c r="Q56" s="3">
        <f t="shared" si="15"/>
        <v>0</v>
      </c>
      <c r="R56" s="3">
        <f t="shared" si="15"/>
        <v>0</v>
      </c>
      <c r="S56" s="3">
        <f t="shared" si="15"/>
        <v>0</v>
      </c>
      <c r="T56" s="3">
        <f t="shared" si="15"/>
        <v>0</v>
      </c>
      <c r="U56" s="3">
        <f t="shared" si="15"/>
        <v>0</v>
      </c>
      <c r="V56" s="3">
        <f t="shared" si="15"/>
        <v>0</v>
      </c>
      <c r="W56" s="3">
        <f t="shared" si="15"/>
        <v>0</v>
      </c>
      <c r="X56" s="3">
        <f t="shared" si="15"/>
        <v>0</v>
      </c>
      <c r="Y56" s="3">
        <f t="shared" si="15"/>
        <v>0</v>
      </c>
      <c r="Z56" s="3">
        <f t="shared" si="15"/>
        <v>0</v>
      </c>
      <c r="AA56" s="3">
        <f t="shared" si="15"/>
        <v>0</v>
      </c>
      <c r="AB56" s="3">
        <f t="shared" si="15"/>
        <v>0</v>
      </c>
      <c r="AC56" s="3">
        <f t="shared" si="15"/>
        <v>0</v>
      </c>
      <c r="AD56" s="3">
        <f t="shared" si="15"/>
        <v>0</v>
      </c>
      <c r="AE56" s="3">
        <f t="shared" si="15"/>
        <v>0</v>
      </c>
      <c r="AF56" s="3">
        <f t="shared" si="15"/>
        <v>0</v>
      </c>
      <c r="AG56" s="3">
        <f t="shared" si="15"/>
        <v>0</v>
      </c>
      <c r="AH56" s="3">
        <f t="shared" si="15"/>
        <v>0</v>
      </c>
      <c r="AI56" s="3">
        <f t="shared" si="15"/>
        <v>0</v>
      </c>
    </row>
    <row r="57" spans="2:36" x14ac:dyDescent="0.25">
      <c r="B57" s="11"/>
    </row>
    <row r="58" spans="2:36" x14ac:dyDescent="0.25">
      <c r="B58" t="s">
        <v>10</v>
      </c>
      <c r="D58" s="3">
        <f>D39-D50</f>
        <v>50090.95</v>
      </c>
      <c r="E58" s="3">
        <f>E39-E50</f>
        <v>50535.248512499995</v>
      </c>
      <c r="F58" s="3">
        <f>F39-F50</f>
        <v>51012.75833880937</v>
      </c>
      <c r="G58" s="3">
        <f>G39-G50</f>
        <v>51525.962024635373</v>
      </c>
      <c r="H58" s="3">
        <f>H39-H50</f>
        <v>52077.527685976864</v>
      </c>
      <c r="I58" s="3">
        <f>I39-I50</f>
        <v>52670.322880503634</v>
      </c>
      <c r="J58" s="3">
        <f>J39-J50</f>
        <v>53307.429515821277</v>
      </c>
      <c r="K58" s="3">
        <f>K39-K50</f>
        <v>53992.159872128919</v>
      </c>
      <c r="L58" s="3">
        <f>L39-L50</f>
        <v>54728.073822570557</v>
      </c>
      <c r="M58" s="3">
        <f>M39-M50</f>
        <v>15518.997340807706</v>
      </c>
      <c r="N58" s="3">
        <f t="shared" ref="N58:AI58" si="16">N39-N50</f>
        <v>13379.042392033083</v>
      </c>
      <c r="O58" s="3">
        <f t="shared" si="16"/>
        <v>11079.125810837557</v>
      </c>
      <c r="P58" s="3">
        <f t="shared" si="16"/>
        <v>8607.2904651976642</v>
      </c>
      <c r="Q58" s="3">
        <f t="shared" si="16"/>
        <v>5950.6854274711895</v>
      </c>
      <c r="R58" s="3">
        <f t="shared" si="16"/>
        <v>3095.4991631746616</v>
      </c>
      <c r="S58" s="3">
        <f t="shared" si="16"/>
        <v>26.887725621967547</v>
      </c>
      <c r="T58" s="3">
        <f t="shared" si="16"/>
        <v>-3271.1024168877902</v>
      </c>
      <c r="U58" s="3">
        <f t="shared" si="16"/>
        <v>-6571.1024168877902</v>
      </c>
      <c r="V58" s="3">
        <f t="shared" si="16"/>
        <v>128.89758311220976</v>
      </c>
      <c r="W58" s="3">
        <f t="shared" si="16"/>
        <v>-3161.4673225501524</v>
      </c>
      <c r="X58" s="3">
        <f t="shared" si="16"/>
        <v>-3161.4673225501524</v>
      </c>
      <c r="Y58" s="3">
        <f t="shared" si="16"/>
        <v>-3161.4673225501524</v>
      </c>
      <c r="Z58" s="3">
        <f t="shared" si="16"/>
        <v>-3161.4673225501524</v>
      </c>
      <c r="AA58" s="3">
        <f t="shared" si="16"/>
        <v>-3161.4673225501524</v>
      </c>
      <c r="AB58" s="3">
        <f t="shared" si="16"/>
        <v>-3161.4673225501524</v>
      </c>
      <c r="AC58" s="3">
        <f t="shared" si="16"/>
        <v>-3161.4673225501524</v>
      </c>
      <c r="AD58" s="3">
        <f t="shared" si="16"/>
        <v>-3161.4673225501524</v>
      </c>
      <c r="AE58" s="3">
        <f t="shared" si="16"/>
        <v>-3161.4673225501524</v>
      </c>
      <c r="AF58" s="3">
        <f t="shared" si="16"/>
        <v>-3161.4673225501524</v>
      </c>
      <c r="AG58" s="3">
        <f t="shared" si="16"/>
        <v>-3161.4673225501524</v>
      </c>
      <c r="AH58" s="3">
        <f t="shared" si="16"/>
        <v>-3161.4673225501524</v>
      </c>
      <c r="AI58" s="3">
        <f t="shared" si="16"/>
        <v>-3161.4673225501524</v>
      </c>
    </row>
    <row r="60" spans="2:36" x14ac:dyDescent="0.25">
      <c r="B60" t="s">
        <v>37</v>
      </c>
      <c r="D60">
        <f>D23</f>
        <v>2026</v>
      </c>
    </row>
    <row r="61" spans="2:36" x14ac:dyDescent="0.25">
      <c r="B61" t="s">
        <v>38</v>
      </c>
      <c r="D61" s="8">
        <f>D29</f>
        <v>96200</v>
      </c>
      <c r="E61" t="s">
        <v>39</v>
      </c>
    </row>
    <row r="62" spans="2:36" x14ac:dyDescent="0.25">
      <c r="B62" t="s">
        <v>40</v>
      </c>
    </row>
    <row r="63" spans="2:36" x14ac:dyDescent="0.25">
      <c r="B63" t="s">
        <v>23</v>
      </c>
      <c r="C63" s="11"/>
      <c r="D63" s="7" t="s">
        <v>33</v>
      </c>
      <c r="E63" t="s">
        <v>34</v>
      </c>
    </row>
    <row r="64" spans="2:36" x14ac:dyDescent="0.25">
      <c r="B64" t="s">
        <v>25</v>
      </c>
      <c r="C64" s="11"/>
      <c r="D64" s="11"/>
    </row>
    <row r="65" spans="2:4" x14ac:dyDescent="0.25">
      <c r="B65" t="s">
        <v>2</v>
      </c>
      <c r="C65" s="9"/>
      <c r="D65" s="5">
        <v>3.5000000000000003E-2</v>
      </c>
    </row>
    <row r="66" spans="2:4" x14ac:dyDescent="0.25">
      <c r="B66" t="s">
        <v>7</v>
      </c>
      <c r="C66" s="9"/>
      <c r="D66" s="5">
        <v>4.4999999999999998E-2</v>
      </c>
    </row>
    <row r="68" spans="2:4" x14ac:dyDescent="0.25">
      <c r="B68" s="7" t="s">
        <v>41</v>
      </c>
    </row>
    <row r="69" spans="2:4" s="11" customFormat="1" x14ac:dyDescent="0.25">
      <c r="B69" s="11" t="s">
        <v>35</v>
      </c>
      <c r="C69" s="11">
        <v>2026</v>
      </c>
    </row>
    <row r="70" spans="2:4" x14ac:dyDescent="0.25">
      <c r="B70" t="s">
        <v>12</v>
      </c>
      <c r="C70" s="7">
        <v>1</v>
      </c>
    </row>
    <row r="71" spans="2:4" x14ac:dyDescent="0.25">
      <c r="B71" t="s">
        <v>27</v>
      </c>
      <c r="C71" s="7">
        <v>5</v>
      </c>
    </row>
    <row r="72" spans="2:4" x14ac:dyDescent="0.25">
      <c r="B72" t="s">
        <v>13</v>
      </c>
      <c r="C72" s="11">
        <f>C69+C71</f>
        <v>2031</v>
      </c>
    </row>
    <row r="73" spans="2:4" x14ac:dyDescent="0.25">
      <c r="B73" t="s">
        <v>19</v>
      </c>
      <c r="C73" s="6">
        <v>65</v>
      </c>
    </row>
    <row r="74" spans="2:4" x14ac:dyDescent="0.25">
      <c r="B74" t="s">
        <v>20</v>
      </c>
      <c r="C74" s="6">
        <v>62</v>
      </c>
    </row>
    <row r="75" spans="2:4" x14ac:dyDescent="0.25">
      <c r="B75" t="s">
        <v>4</v>
      </c>
      <c r="C75" s="5">
        <v>0</v>
      </c>
    </row>
    <row r="76" spans="2:4" x14ac:dyDescent="0.25">
      <c r="B76" t="s">
        <v>18</v>
      </c>
      <c r="C76" s="5">
        <v>1.0999999999999999E-2</v>
      </c>
    </row>
    <row r="77" spans="2:4" x14ac:dyDescent="0.25">
      <c r="B77" t="s">
        <v>21</v>
      </c>
      <c r="C77" s="5">
        <v>0.03</v>
      </c>
    </row>
    <row r="78" spans="2:4" x14ac:dyDescent="0.25">
      <c r="C78" s="11"/>
    </row>
    <row r="79" spans="2:4" x14ac:dyDescent="0.25">
      <c r="B79" t="s">
        <v>23</v>
      </c>
      <c r="C79" s="7" t="str">
        <f>C18</f>
        <v>Balanced</v>
      </c>
      <c r="D79" t="s">
        <v>34</v>
      </c>
    </row>
    <row r="80" spans="2:4" x14ac:dyDescent="0.25">
      <c r="B80" t="s">
        <v>25</v>
      </c>
      <c r="C80" s="11"/>
    </row>
    <row r="81" spans="2:35" x14ac:dyDescent="0.25">
      <c r="B81" t="s">
        <v>2</v>
      </c>
      <c r="C81" s="5">
        <f>C20</f>
        <v>3.5000000000000003E-2</v>
      </c>
    </row>
    <row r="82" spans="2:35" x14ac:dyDescent="0.25">
      <c r="B82" t="s">
        <v>7</v>
      </c>
      <c r="C82" s="5">
        <f>C21</f>
        <v>4.4999999999999998E-2</v>
      </c>
    </row>
    <row r="84" spans="2:35" x14ac:dyDescent="0.25">
      <c r="B84" s="11" t="s">
        <v>28</v>
      </c>
      <c r="D84" s="11">
        <f>C69</f>
        <v>2026</v>
      </c>
      <c r="E84">
        <f>D84+1</f>
        <v>2027</v>
      </c>
      <c r="F84">
        <f t="shared" ref="F84:M87" si="17">E84+1</f>
        <v>2028</v>
      </c>
      <c r="G84">
        <f t="shared" si="17"/>
        <v>2029</v>
      </c>
      <c r="H84">
        <f t="shared" si="17"/>
        <v>2030</v>
      </c>
      <c r="I84">
        <f t="shared" si="17"/>
        <v>2031</v>
      </c>
      <c r="J84">
        <f t="shared" si="17"/>
        <v>2032</v>
      </c>
      <c r="K84">
        <f t="shared" si="17"/>
        <v>2033</v>
      </c>
      <c r="L84">
        <f t="shared" si="17"/>
        <v>2034</v>
      </c>
      <c r="M84">
        <f t="shared" si="17"/>
        <v>2035</v>
      </c>
    </row>
    <row r="85" spans="2:35" x14ac:dyDescent="0.25">
      <c r="B85" t="s">
        <v>3</v>
      </c>
      <c r="D85">
        <v>0</v>
      </c>
      <c r="E85">
        <f>D85+1</f>
        <v>1</v>
      </c>
      <c r="F85">
        <f t="shared" si="17"/>
        <v>2</v>
      </c>
      <c r="G85">
        <f t="shared" si="17"/>
        <v>3</v>
      </c>
      <c r="H85">
        <f t="shared" si="17"/>
        <v>4</v>
      </c>
      <c r="I85">
        <f t="shared" si="17"/>
        <v>5</v>
      </c>
      <c r="J85">
        <f t="shared" si="17"/>
        <v>6</v>
      </c>
      <c r="K85">
        <f t="shared" si="17"/>
        <v>7</v>
      </c>
      <c r="L85">
        <f t="shared" si="17"/>
        <v>8</v>
      </c>
      <c r="M85" s="7">
        <f t="shared" si="17"/>
        <v>9</v>
      </c>
    </row>
    <row r="86" spans="2:35" x14ac:dyDescent="0.25">
      <c r="B86" t="s">
        <v>19</v>
      </c>
      <c r="D86" s="3">
        <f>C73</f>
        <v>65</v>
      </c>
      <c r="E86" s="3">
        <f>D86+1</f>
        <v>66</v>
      </c>
      <c r="F86" s="3">
        <f t="shared" si="17"/>
        <v>67</v>
      </c>
      <c r="G86" s="3">
        <f t="shared" si="17"/>
        <v>68</v>
      </c>
      <c r="H86" s="3">
        <f t="shared" si="17"/>
        <v>69</v>
      </c>
      <c r="I86" s="3">
        <f t="shared" si="17"/>
        <v>70</v>
      </c>
      <c r="J86" s="3">
        <f t="shared" si="17"/>
        <v>71</v>
      </c>
      <c r="K86" s="3">
        <f t="shared" si="17"/>
        <v>72</v>
      </c>
      <c r="L86" s="3">
        <f t="shared" si="17"/>
        <v>73</v>
      </c>
      <c r="M86" s="3">
        <f t="shared" si="17"/>
        <v>74</v>
      </c>
    </row>
    <row r="87" spans="2:35" x14ac:dyDescent="0.25">
      <c r="B87" t="s">
        <v>20</v>
      </c>
      <c r="D87" s="3">
        <f>C74</f>
        <v>62</v>
      </c>
      <c r="E87" s="3">
        <f>D87+1</f>
        <v>63</v>
      </c>
      <c r="F87" s="3">
        <f t="shared" si="17"/>
        <v>64</v>
      </c>
      <c r="G87" s="3">
        <f t="shared" si="17"/>
        <v>65</v>
      </c>
      <c r="H87" s="3">
        <f t="shared" si="17"/>
        <v>66</v>
      </c>
      <c r="I87" s="3">
        <f t="shared" si="17"/>
        <v>67</v>
      </c>
      <c r="J87" s="3">
        <f t="shared" si="17"/>
        <v>68</v>
      </c>
      <c r="K87" s="3">
        <f t="shared" si="17"/>
        <v>69</v>
      </c>
      <c r="L87" s="3">
        <f t="shared" si="17"/>
        <v>70</v>
      </c>
      <c r="M87" s="3">
        <f t="shared" si="17"/>
        <v>71</v>
      </c>
    </row>
    <row r="88" spans="2:35" x14ac:dyDescent="0.25">
      <c r="M88" s="7"/>
    </row>
    <row r="90" spans="2:35" x14ac:dyDescent="0.25">
      <c r="B90" t="s">
        <v>0</v>
      </c>
      <c r="D90" s="13">
        <v>475000</v>
      </c>
      <c r="E90" s="8">
        <f>D100-D108</f>
        <v>507775</v>
      </c>
      <c r="F90" s="8">
        <f t="shared" ref="F90:M90" si="18">E100-E108</f>
        <v>542811.47499999998</v>
      </c>
      <c r="G90" s="8">
        <f t="shared" si="18"/>
        <v>580265.4667750001</v>
      </c>
      <c r="H90" s="8">
        <f t="shared" si="18"/>
        <v>620303.78398247506</v>
      </c>
      <c r="I90" s="8">
        <f t="shared" si="18"/>
        <v>663104.74507726589</v>
      </c>
      <c r="J90" s="8">
        <f t="shared" si="18"/>
        <v>708858.97248759726</v>
      </c>
      <c r="K90" s="8">
        <f t="shared" si="18"/>
        <v>757770.24158924143</v>
      </c>
      <c r="L90" s="8">
        <f t="shared" si="18"/>
        <v>810056.3882588991</v>
      </c>
      <c r="M90" s="8">
        <f t="shared" si="18"/>
        <v>865950.2790487631</v>
      </c>
    </row>
    <row r="91" spans="2:35" x14ac:dyDescent="0.25">
      <c r="B91" t="s">
        <v>2</v>
      </c>
      <c r="D91" s="9">
        <f>C81</f>
        <v>3.5000000000000003E-2</v>
      </c>
      <c r="E91" s="1">
        <f>D91</f>
        <v>3.5000000000000003E-2</v>
      </c>
      <c r="F91" s="1">
        <f t="shared" ref="F91:M91" si="19">E91</f>
        <v>3.5000000000000003E-2</v>
      </c>
      <c r="G91" s="1">
        <f t="shared" si="19"/>
        <v>3.5000000000000003E-2</v>
      </c>
      <c r="H91" s="1">
        <f t="shared" si="19"/>
        <v>3.5000000000000003E-2</v>
      </c>
      <c r="I91" s="1">
        <f t="shared" si="19"/>
        <v>3.5000000000000003E-2</v>
      </c>
      <c r="J91" s="1">
        <f t="shared" si="19"/>
        <v>3.5000000000000003E-2</v>
      </c>
      <c r="K91" s="1">
        <f t="shared" si="19"/>
        <v>3.5000000000000003E-2</v>
      </c>
      <c r="L91" s="1">
        <f t="shared" si="19"/>
        <v>3.5000000000000003E-2</v>
      </c>
      <c r="M91" s="1">
        <f t="shared" si="19"/>
        <v>3.5000000000000003E-2</v>
      </c>
    </row>
    <row r="92" spans="2:35" x14ac:dyDescent="0.25">
      <c r="B92" t="s">
        <v>1</v>
      </c>
      <c r="D92" s="10">
        <f>D90*D91</f>
        <v>16625</v>
      </c>
      <c r="E92" s="3">
        <f t="shared" ref="E92:M92" si="20">E90*E91</f>
        <v>17772.125</v>
      </c>
      <c r="F92" s="3">
        <f t="shared" si="20"/>
        <v>18998.401625000002</v>
      </c>
      <c r="G92" s="3">
        <f t="shared" si="20"/>
        <v>20309.291337125007</v>
      </c>
      <c r="H92" s="3">
        <f t="shared" si="20"/>
        <v>21710.632439386631</v>
      </c>
      <c r="I92" s="3">
        <f t="shared" si="20"/>
        <v>23208.666077704307</v>
      </c>
      <c r="J92" s="3">
        <f t="shared" si="20"/>
        <v>24810.064037065906</v>
      </c>
      <c r="K92" s="3">
        <f t="shared" si="20"/>
        <v>26521.958455623451</v>
      </c>
      <c r="L92" s="3">
        <f t="shared" si="20"/>
        <v>28351.973589061472</v>
      </c>
      <c r="M92" s="3">
        <f t="shared" si="20"/>
        <v>30308.259766706713</v>
      </c>
    </row>
    <row r="93" spans="2:35" x14ac:dyDescent="0.25">
      <c r="B93" t="s">
        <v>4</v>
      </c>
      <c r="D93" s="9">
        <f>C75</f>
        <v>0</v>
      </c>
      <c r="E93" s="4">
        <f>D93</f>
        <v>0</v>
      </c>
      <c r="F93" s="4">
        <f t="shared" ref="F93:M93" si="21">E93</f>
        <v>0</v>
      </c>
      <c r="G93" s="4">
        <f t="shared" si="21"/>
        <v>0</v>
      </c>
      <c r="H93" s="4">
        <f t="shared" si="21"/>
        <v>0</v>
      </c>
      <c r="I93" s="4">
        <f t="shared" si="21"/>
        <v>0</v>
      </c>
      <c r="J93" s="4">
        <f t="shared" si="21"/>
        <v>0</v>
      </c>
      <c r="K93" s="4">
        <f t="shared" si="21"/>
        <v>0</v>
      </c>
      <c r="L93" s="4">
        <f t="shared" si="21"/>
        <v>0</v>
      </c>
      <c r="M93" s="4">
        <f t="shared" si="21"/>
        <v>0</v>
      </c>
    </row>
    <row r="94" spans="2:35" x14ac:dyDescent="0.25">
      <c r="B94" t="s">
        <v>5</v>
      </c>
      <c r="D94" s="10">
        <f>IF((D92*D93)&lt;0,0,(D92*D93))</f>
        <v>0</v>
      </c>
      <c r="E94" s="10">
        <f t="shared" ref="E94:M94" si="22">IF((E92*E93)&lt;0,0,(E92*E93))</f>
        <v>0</v>
      </c>
      <c r="F94" s="10">
        <f t="shared" si="22"/>
        <v>0</v>
      </c>
      <c r="G94" s="10">
        <f t="shared" si="22"/>
        <v>0</v>
      </c>
      <c r="H94" s="10">
        <f t="shared" si="22"/>
        <v>0</v>
      </c>
      <c r="I94" s="10">
        <f t="shared" si="22"/>
        <v>0</v>
      </c>
      <c r="J94" s="10">
        <f t="shared" si="22"/>
        <v>0</v>
      </c>
      <c r="K94" s="10">
        <f t="shared" si="22"/>
        <v>0</v>
      </c>
      <c r="L94" s="10">
        <f t="shared" si="22"/>
        <v>0</v>
      </c>
      <c r="M94" s="10">
        <f t="shared" si="22"/>
        <v>0</v>
      </c>
      <c r="AI94" s="3">
        <f>SUM(D94:N94)</f>
        <v>0</v>
      </c>
    </row>
    <row r="95" spans="2:35" x14ac:dyDescent="0.25">
      <c r="B95" t="s">
        <v>6</v>
      </c>
      <c r="D95" s="10">
        <f>IF((D92-D94)&lt;0,0,(D92-D94))</f>
        <v>16625</v>
      </c>
      <c r="E95" s="10">
        <f t="shared" ref="E95:M95" si="23">IF((E92-E94)&lt;0,0,(E92-E94))</f>
        <v>17772.125</v>
      </c>
      <c r="F95" s="10">
        <f t="shared" si="23"/>
        <v>18998.401625000002</v>
      </c>
      <c r="G95" s="10">
        <f t="shared" si="23"/>
        <v>20309.291337125007</v>
      </c>
      <c r="H95" s="10">
        <f t="shared" si="23"/>
        <v>21710.632439386631</v>
      </c>
      <c r="I95" s="10">
        <f t="shared" si="23"/>
        <v>23208.666077704307</v>
      </c>
      <c r="J95" s="10">
        <f t="shared" si="23"/>
        <v>24810.064037065906</v>
      </c>
      <c r="K95" s="10">
        <f t="shared" si="23"/>
        <v>26521.958455623451</v>
      </c>
      <c r="L95" s="10">
        <f t="shared" si="23"/>
        <v>28351.973589061472</v>
      </c>
      <c r="M95" s="10">
        <f t="shared" si="23"/>
        <v>30308.259766706713</v>
      </c>
      <c r="AI95" s="3">
        <f>SUM(D95:N95)</f>
        <v>228616.37232767345</v>
      </c>
    </row>
    <row r="96" spans="2:35" x14ac:dyDescent="0.25">
      <c r="D96" s="11"/>
      <c r="AI96" s="3"/>
    </row>
    <row r="97" spans="2:36" x14ac:dyDescent="0.25">
      <c r="B97" t="s">
        <v>7</v>
      </c>
      <c r="D97" s="9">
        <f>C82</f>
        <v>4.4999999999999998E-2</v>
      </c>
      <c r="E97" s="1">
        <f>D97</f>
        <v>4.4999999999999998E-2</v>
      </c>
      <c r="F97" s="1">
        <f t="shared" ref="F97:M97" si="24">E97</f>
        <v>4.4999999999999998E-2</v>
      </c>
      <c r="G97" s="1">
        <f t="shared" si="24"/>
        <v>4.4999999999999998E-2</v>
      </c>
      <c r="H97" s="1">
        <f t="shared" si="24"/>
        <v>4.4999999999999998E-2</v>
      </c>
      <c r="I97" s="1">
        <f t="shared" si="24"/>
        <v>4.4999999999999998E-2</v>
      </c>
      <c r="J97" s="1">
        <f t="shared" si="24"/>
        <v>4.4999999999999998E-2</v>
      </c>
      <c r="K97" s="1">
        <f t="shared" si="24"/>
        <v>4.4999999999999998E-2</v>
      </c>
      <c r="L97" s="1">
        <f t="shared" si="24"/>
        <v>4.4999999999999998E-2</v>
      </c>
      <c r="M97" s="1">
        <f t="shared" si="24"/>
        <v>4.4999999999999998E-2</v>
      </c>
    </row>
    <row r="98" spans="2:36" x14ac:dyDescent="0.25">
      <c r="B98" t="s">
        <v>8</v>
      </c>
      <c r="D98" s="10">
        <f>IF((D97*D90)&lt;0,0,(D97*D90))</f>
        <v>21375</v>
      </c>
      <c r="E98" s="10">
        <f t="shared" ref="E98:M98" si="25">IF((E97*E90)&lt;0,0,(E97*E90))</f>
        <v>22849.875</v>
      </c>
      <c r="F98" s="10">
        <f t="shared" si="25"/>
        <v>24426.516374999999</v>
      </c>
      <c r="G98" s="10">
        <f t="shared" si="25"/>
        <v>26111.946004875004</v>
      </c>
      <c r="H98" s="10">
        <f t="shared" si="25"/>
        <v>27913.670279211376</v>
      </c>
      <c r="I98" s="10">
        <f t="shared" si="25"/>
        <v>29839.713528476965</v>
      </c>
      <c r="J98" s="10">
        <f t="shared" si="25"/>
        <v>31898.653761941874</v>
      </c>
      <c r="K98" s="10">
        <f t="shared" si="25"/>
        <v>34099.660871515865</v>
      </c>
      <c r="L98" s="10">
        <f t="shared" si="25"/>
        <v>36452.537471650459</v>
      </c>
      <c r="M98" s="10">
        <f t="shared" si="25"/>
        <v>38967.762557194335</v>
      </c>
      <c r="AI98" s="3">
        <f>SUM(D98:M98)</f>
        <v>293935.33584986592</v>
      </c>
    </row>
    <row r="99" spans="2:36" x14ac:dyDescent="0.25">
      <c r="D99" s="11"/>
    </row>
    <row r="100" spans="2:36" x14ac:dyDescent="0.25">
      <c r="B100" t="s">
        <v>9</v>
      </c>
      <c r="D100" s="10">
        <f>D90+D95+D98</f>
        <v>513000</v>
      </c>
      <c r="E100" s="3">
        <f t="shared" ref="E100:M100" si="26">E90+E95+E98</f>
        <v>548397</v>
      </c>
      <c r="F100" s="3">
        <f t="shared" si="26"/>
        <v>586236.39300000004</v>
      </c>
      <c r="G100" s="3">
        <f t="shared" si="26"/>
        <v>626686.7041170001</v>
      </c>
      <c r="H100" s="3">
        <f t="shared" si="26"/>
        <v>669928.0867010731</v>
      </c>
      <c r="I100" s="3">
        <f t="shared" si="26"/>
        <v>716153.12468344718</v>
      </c>
      <c r="J100" s="3">
        <f t="shared" si="26"/>
        <v>765567.69028660504</v>
      </c>
      <c r="K100" s="3">
        <f t="shared" si="26"/>
        <v>818391.86091638077</v>
      </c>
      <c r="L100" s="3">
        <f t="shared" si="26"/>
        <v>874860.89931961102</v>
      </c>
      <c r="M100" s="3">
        <f t="shared" si="26"/>
        <v>935226.30137266417</v>
      </c>
    </row>
    <row r="101" spans="2:36" x14ac:dyDescent="0.25">
      <c r="D101" s="11"/>
    </row>
    <row r="102" spans="2:36" x14ac:dyDescent="0.25">
      <c r="B102" t="s">
        <v>16</v>
      </c>
      <c r="D102" s="6">
        <v>0</v>
      </c>
      <c r="E102" s="2">
        <f>D102*(1+D103)</f>
        <v>0</v>
      </c>
      <c r="F102" s="2">
        <f t="shared" ref="F102:M102" si="27">E102*(1+E103)</f>
        <v>0</v>
      </c>
      <c r="G102" s="2">
        <f t="shared" si="27"/>
        <v>0</v>
      </c>
      <c r="H102" s="2">
        <f t="shared" si="27"/>
        <v>0</v>
      </c>
      <c r="I102" s="2">
        <f t="shared" si="27"/>
        <v>0</v>
      </c>
      <c r="J102" s="2">
        <f t="shared" si="27"/>
        <v>0</v>
      </c>
      <c r="K102" s="2">
        <f t="shared" si="27"/>
        <v>0</v>
      </c>
      <c r="L102" s="2">
        <f t="shared" si="27"/>
        <v>0</v>
      </c>
      <c r="M102" s="2">
        <f t="shared" si="27"/>
        <v>0</v>
      </c>
    </row>
    <row r="103" spans="2:36" x14ac:dyDescent="0.25">
      <c r="B103" t="s">
        <v>11</v>
      </c>
      <c r="D103" s="9">
        <f>C77</f>
        <v>0.03</v>
      </c>
      <c r="E103" s="1">
        <f>D103</f>
        <v>0.03</v>
      </c>
      <c r="F103" s="1">
        <f t="shared" ref="F103:M103" si="28">E103</f>
        <v>0.03</v>
      </c>
      <c r="G103" s="1">
        <f t="shared" si="28"/>
        <v>0.03</v>
      </c>
      <c r="H103" s="1">
        <f t="shared" si="28"/>
        <v>0.03</v>
      </c>
      <c r="I103" s="1">
        <f t="shared" si="28"/>
        <v>0.03</v>
      </c>
      <c r="J103" s="1">
        <f t="shared" si="28"/>
        <v>0.03</v>
      </c>
      <c r="K103" s="1">
        <f t="shared" si="28"/>
        <v>0.03</v>
      </c>
      <c r="L103" s="1">
        <f t="shared" si="28"/>
        <v>0.03</v>
      </c>
      <c r="M103" s="1">
        <f t="shared" si="28"/>
        <v>0.03</v>
      </c>
    </row>
    <row r="104" spans="2:36" x14ac:dyDescent="0.25">
      <c r="B104" s="11"/>
      <c r="C104" s="11"/>
      <c r="D104" s="9"/>
      <c r="E104" s="1"/>
      <c r="F104" s="1"/>
      <c r="G104" s="1"/>
      <c r="H104" s="1"/>
      <c r="I104" s="1"/>
      <c r="J104" s="1"/>
      <c r="K104" s="1"/>
      <c r="L104" s="1"/>
      <c r="M104" s="1"/>
    </row>
    <row r="105" spans="2:36" x14ac:dyDescent="0.25">
      <c r="B105" s="11" t="s">
        <v>14</v>
      </c>
      <c r="C105" s="11"/>
      <c r="D105" s="9">
        <f>C76</f>
        <v>1.0999999999999999E-2</v>
      </c>
      <c r="E105" s="1">
        <f>D105</f>
        <v>1.0999999999999999E-2</v>
      </c>
      <c r="F105" s="1">
        <f t="shared" ref="F105:M105" si="29">E105</f>
        <v>1.0999999999999999E-2</v>
      </c>
      <c r="G105" s="1">
        <f t="shared" si="29"/>
        <v>1.0999999999999999E-2</v>
      </c>
      <c r="H105" s="1">
        <f t="shared" si="29"/>
        <v>1.0999999999999999E-2</v>
      </c>
      <c r="I105" s="1">
        <f t="shared" si="29"/>
        <v>1.0999999999999999E-2</v>
      </c>
      <c r="J105" s="1">
        <f t="shared" si="29"/>
        <v>1.0999999999999999E-2</v>
      </c>
      <c r="K105" s="1">
        <f t="shared" si="29"/>
        <v>1.0999999999999999E-2</v>
      </c>
      <c r="L105" s="1">
        <f t="shared" si="29"/>
        <v>1.0999999999999999E-2</v>
      </c>
      <c r="M105" s="1">
        <f t="shared" si="29"/>
        <v>1.0999999999999999E-2</v>
      </c>
    </row>
    <row r="106" spans="2:36" x14ac:dyDescent="0.25">
      <c r="B106" s="11" t="s">
        <v>15</v>
      </c>
      <c r="D106" s="2">
        <f>IF((D105*D90)&lt;0,0,(D105*D90))</f>
        <v>5225</v>
      </c>
      <c r="E106" s="2">
        <f t="shared" ref="E106:M106" si="30">IF((E105*E90)&lt;0,0,(E105*E90))</f>
        <v>5585.5249999999996</v>
      </c>
      <c r="F106" s="2">
        <f t="shared" si="30"/>
        <v>5970.9262249999992</v>
      </c>
      <c r="G106" s="2">
        <f t="shared" si="30"/>
        <v>6382.9201345250003</v>
      </c>
      <c r="H106" s="2">
        <f t="shared" si="30"/>
        <v>6823.341623807225</v>
      </c>
      <c r="I106" s="2">
        <f t="shared" si="30"/>
        <v>7294.1521958499243</v>
      </c>
      <c r="J106" s="2">
        <f t="shared" si="30"/>
        <v>7797.4486973635694</v>
      </c>
      <c r="K106" s="2">
        <f t="shared" si="30"/>
        <v>8335.4726574816559</v>
      </c>
      <c r="L106" s="2">
        <f t="shared" si="30"/>
        <v>8910.6202708478904</v>
      </c>
      <c r="M106" s="2">
        <f t="shared" si="30"/>
        <v>9525.4530695363937</v>
      </c>
      <c r="AI106" s="3">
        <f>SUM(D106:N106)</f>
        <v>71850.859874411661</v>
      </c>
      <c r="AJ106" s="4">
        <f>AI106/AI108</f>
        <v>1</v>
      </c>
    </row>
    <row r="107" spans="2:36" x14ac:dyDescent="0.25">
      <c r="B107" s="11"/>
    </row>
    <row r="108" spans="2:36" x14ac:dyDescent="0.25">
      <c r="B108" t="s">
        <v>17</v>
      </c>
      <c r="D108" s="3">
        <f>IF(D85&lt;=$C$5,(D102+D106),0)</f>
        <v>5225</v>
      </c>
      <c r="E108" s="3">
        <f t="shared" ref="E108:M108" si="31">IF(E85&lt;=$C$5,(E102+E106),0)</f>
        <v>5585.5249999999996</v>
      </c>
      <c r="F108" s="3">
        <f t="shared" si="31"/>
        <v>5970.9262249999992</v>
      </c>
      <c r="G108" s="3">
        <f t="shared" si="31"/>
        <v>6382.9201345250003</v>
      </c>
      <c r="H108" s="3">
        <f t="shared" si="31"/>
        <v>6823.341623807225</v>
      </c>
      <c r="I108" s="3">
        <f t="shared" si="31"/>
        <v>7294.1521958499243</v>
      </c>
      <c r="J108" s="3">
        <f t="shared" si="31"/>
        <v>7797.4486973635694</v>
      </c>
      <c r="K108" s="3">
        <f t="shared" si="31"/>
        <v>8335.4726574816559</v>
      </c>
      <c r="L108" s="3">
        <f t="shared" si="31"/>
        <v>8910.6202708478904</v>
      </c>
      <c r="M108" s="3">
        <f t="shared" si="31"/>
        <v>9525.4530695363937</v>
      </c>
      <c r="AI108" s="3">
        <f>SUM(D108:N108)</f>
        <v>71850.859874411661</v>
      </c>
    </row>
    <row r="109" spans="2:36" x14ac:dyDescent="0.25">
      <c r="B109" s="11"/>
    </row>
    <row r="110" spans="2:36" x14ac:dyDescent="0.25">
      <c r="B110" t="s">
        <v>10</v>
      </c>
      <c r="D110" s="3">
        <f>D100-D102</f>
        <v>513000</v>
      </c>
      <c r="E110" s="3">
        <f>E100-E102</f>
        <v>548397</v>
      </c>
      <c r="F110" s="3">
        <f>F100-F102</f>
        <v>586236.39300000004</v>
      </c>
      <c r="G110" s="3">
        <f>G100-G102</f>
        <v>626686.7041170001</v>
      </c>
      <c r="H110" s="3">
        <f>H100-H102</f>
        <v>669928.0867010731</v>
      </c>
      <c r="I110" s="3">
        <f>I100-I102</f>
        <v>716153.12468344718</v>
      </c>
      <c r="J110" s="3">
        <f>J100-J102</f>
        <v>765567.69028660504</v>
      </c>
      <c r="K110" s="3">
        <f>K100-K102</f>
        <v>818391.86091638077</v>
      </c>
      <c r="L110" s="3">
        <f>L100-L102</f>
        <v>874860.89931961102</v>
      </c>
      <c r="M110" s="3">
        <f>M100-M102</f>
        <v>935226.30137266417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AD0C-38E9-4D56-B0E7-5EA84AC80E04}">
  <dimension ref="B1:AJ110"/>
  <sheetViews>
    <sheetView topLeftCell="A40" zoomScale="150" zoomScaleNormal="150" workbookViewId="0">
      <pane xSplit="4" topLeftCell="X1" activePane="topRight" state="frozen"/>
      <selection activeCell="A19" sqref="A19"/>
      <selection pane="topRight" activeCell="D29" sqref="D29"/>
    </sheetView>
  </sheetViews>
  <sheetFormatPr defaultRowHeight="15" x14ac:dyDescent="0.25"/>
  <cols>
    <col min="2" max="2" width="35.42578125" bestFit="1" customWidth="1"/>
    <col min="3" max="3" width="9.5703125" bestFit="1" customWidth="1"/>
    <col min="4" max="4" width="17" customWidth="1"/>
    <col min="5" max="5" width="10.28515625" customWidth="1"/>
    <col min="6" max="12" width="9.5703125" bestFit="1" customWidth="1"/>
    <col min="13" max="13" width="10.5703125" bestFit="1" customWidth="1"/>
    <col min="35" max="36" width="5.85546875" bestFit="1" customWidth="1"/>
  </cols>
  <sheetData>
    <row r="1" spans="2:3" x14ac:dyDescent="0.25">
      <c r="B1" s="7" t="s">
        <v>52</v>
      </c>
    </row>
    <row r="2" spans="2:3" s="11" customFormat="1" x14ac:dyDescent="0.25">
      <c r="B2" s="11" t="s">
        <v>35</v>
      </c>
      <c r="C2" s="11">
        <f>'Income - Stage 1'!C3</f>
        <v>2026</v>
      </c>
    </row>
    <row r="3" spans="2:3" x14ac:dyDescent="0.25">
      <c r="B3" t="s">
        <v>12</v>
      </c>
      <c r="C3" s="7">
        <f>'Income - Stage 1'!C4</f>
        <v>1</v>
      </c>
    </row>
    <row r="4" spans="2:3" x14ac:dyDescent="0.25">
      <c r="B4" t="s">
        <v>27</v>
      </c>
      <c r="C4" s="7">
        <v>19</v>
      </c>
    </row>
    <row r="5" spans="2:3" x14ac:dyDescent="0.25">
      <c r="B5" t="s">
        <v>13</v>
      </c>
      <c r="C5" s="11">
        <f>C2+C4</f>
        <v>2045</v>
      </c>
    </row>
    <row r="6" spans="2:3" x14ac:dyDescent="0.25">
      <c r="B6" t="s">
        <v>36</v>
      </c>
      <c r="C6" s="11">
        <f>C5+1</f>
        <v>2046</v>
      </c>
    </row>
    <row r="7" spans="2:3" x14ac:dyDescent="0.25">
      <c r="C7" s="11"/>
    </row>
    <row r="8" spans="2:3" x14ac:dyDescent="0.25">
      <c r="B8" t="s">
        <v>29</v>
      </c>
      <c r="C8" s="6">
        <f>'Income - Stage 1'!C7</f>
        <v>65</v>
      </c>
    </row>
    <row r="9" spans="2:3" x14ac:dyDescent="0.25">
      <c r="B9" t="s">
        <v>31</v>
      </c>
      <c r="C9" s="12">
        <f>C8+C4</f>
        <v>84</v>
      </c>
    </row>
    <row r="10" spans="2:3" x14ac:dyDescent="0.25">
      <c r="C10" s="12"/>
    </row>
    <row r="11" spans="2:3" x14ac:dyDescent="0.25">
      <c r="B11" t="s">
        <v>30</v>
      </c>
      <c r="C11" s="6">
        <f>'Income - Stage 1'!C8</f>
        <v>62</v>
      </c>
    </row>
    <row r="12" spans="2:3" x14ac:dyDescent="0.25">
      <c r="B12" t="s">
        <v>32</v>
      </c>
      <c r="C12" s="12">
        <f>C11+C4</f>
        <v>81</v>
      </c>
    </row>
    <row r="13" spans="2:3" x14ac:dyDescent="0.25">
      <c r="C13" s="12"/>
    </row>
    <row r="14" spans="2:3" x14ac:dyDescent="0.25">
      <c r="B14" t="s">
        <v>4</v>
      </c>
      <c r="C14" s="5">
        <v>0</v>
      </c>
    </row>
    <row r="15" spans="2:3" x14ac:dyDescent="0.25">
      <c r="B15" t="s">
        <v>18</v>
      </c>
      <c r="C15" s="5">
        <v>1.0999999999999999E-2</v>
      </c>
    </row>
    <row r="16" spans="2:3" x14ac:dyDescent="0.25">
      <c r="B16" t="s">
        <v>21</v>
      </c>
      <c r="C16" s="5">
        <v>0.03</v>
      </c>
    </row>
    <row r="17" spans="2:35" x14ac:dyDescent="0.25">
      <c r="C17" s="11"/>
    </row>
    <row r="18" spans="2:35" x14ac:dyDescent="0.25">
      <c r="B18" t="s">
        <v>23</v>
      </c>
      <c r="C18" s="7" t="s">
        <v>33</v>
      </c>
      <c r="D18" t="s">
        <v>34</v>
      </c>
    </row>
    <row r="19" spans="2:35" x14ac:dyDescent="0.25">
      <c r="B19" t="s">
        <v>25</v>
      </c>
      <c r="C19" s="11"/>
    </row>
    <row r="20" spans="2:35" x14ac:dyDescent="0.25">
      <c r="B20" t="s">
        <v>2</v>
      </c>
      <c r="C20" s="5">
        <v>3.5000000000000003E-2</v>
      </c>
    </row>
    <row r="21" spans="2:35" x14ac:dyDescent="0.25">
      <c r="B21" t="s">
        <v>7</v>
      </c>
      <c r="C21" s="5">
        <v>4.4999999999999998E-2</v>
      </c>
    </row>
    <row r="23" spans="2:35" x14ac:dyDescent="0.25">
      <c r="B23" s="11" t="s">
        <v>28</v>
      </c>
      <c r="D23" s="11">
        <f>C2</f>
        <v>2026</v>
      </c>
      <c r="E23">
        <f>D23+1</f>
        <v>2027</v>
      </c>
      <c r="F23">
        <f t="shared" ref="F23:AI26" si="0">E23+1</f>
        <v>2028</v>
      </c>
      <c r="G23">
        <f t="shared" si="0"/>
        <v>2029</v>
      </c>
      <c r="H23">
        <f t="shared" si="0"/>
        <v>2030</v>
      </c>
      <c r="I23">
        <f t="shared" si="0"/>
        <v>2031</v>
      </c>
      <c r="J23">
        <f t="shared" si="0"/>
        <v>2032</v>
      </c>
      <c r="K23">
        <f t="shared" si="0"/>
        <v>2033</v>
      </c>
      <c r="L23">
        <f t="shared" si="0"/>
        <v>2034</v>
      </c>
      <c r="M23">
        <f t="shared" si="0"/>
        <v>2035</v>
      </c>
      <c r="N23">
        <f t="shared" si="0"/>
        <v>2036</v>
      </c>
      <c r="O23">
        <f t="shared" si="0"/>
        <v>2037</v>
      </c>
      <c r="P23">
        <f t="shared" si="0"/>
        <v>2038</v>
      </c>
      <c r="Q23">
        <f t="shared" si="0"/>
        <v>2039</v>
      </c>
      <c r="R23">
        <f t="shared" si="0"/>
        <v>2040</v>
      </c>
      <c r="S23">
        <f t="shared" si="0"/>
        <v>2041</v>
      </c>
      <c r="T23">
        <f t="shared" si="0"/>
        <v>2042</v>
      </c>
      <c r="U23">
        <f t="shared" si="0"/>
        <v>2043</v>
      </c>
      <c r="V23">
        <f t="shared" si="0"/>
        <v>2044</v>
      </c>
      <c r="W23">
        <f t="shared" si="0"/>
        <v>2045</v>
      </c>
      <c r="X23">
        <f t="shared" si="0"/>
        <v>2046</v>
      </c>
      <c r="Y23">
        <f t="shared" si="0"/>
        <v>2047</v>
      </c>
      <c r="Z23">
        <f t="shared" si="0"/>
        <v>2048</v>
      </c>
      <c r="AA23">
        <f t="shared" si="0"/>
        <v>2049</v>
      </c>
      <c r="AB23">
        <f t="shared" si="0"/>
        <v>2050</v>
      </c>
      <c r="AC23">
        <f t="shared" si="0"/>
        <v>2051</v>
      </c>
      <c r="AD23">
        <f t="shared" si="0"/>
        <v>2052</v>
      </c>
      <c r="AE23">
        <f t="shared" si="0"/>
        <v>2053</v>
      </c>
      <c r="AF23">
        <f t="shared" si="0"/>
        <v>2054</v>
      </c>
      <c r="AG23">
        <f t="shared" si="0"/>
        <v>2055</v>
      </c>
      <c r="AH23">
        <f t="shared" si="0"/>
        <v>2056</v>
      </c>
      <c r="AI23">
        <f t="shared" si="0"/>
        <v>2057</v>
      </c>
    </row>
    <row r="24" spans="2:35" x14ac:dyDescent="0.25">
      <c r="B24" t="s">
        <v>3</v>
      </c>
      <c r="D24">
        <f>C3</f>
        <v>1</v>
      </c>
      <c r="E24">
        <f>D24+1</f>
        <v>2</v>
      </c>
      <c r="F24">
        <f t="shared" si="0"/>
        <v>3</v>
      </c>
      <c r="G24">
        <f t="shared" si="0"/>
        <v>4</v>
      </c>
      <c r="H24">
        <f t="shared" si="0"/>
        <v>5</v>
      </c>
      <c r="I24">
        <f t="shared" si="0"/>
        <v>6</v>
      </c>
      <c r="J24">
        <f t="shared" si="0"/>
        <v>7</v>
      </c>
      <c r="K24">
        <f t="shared" si="0"/>
        <v>8</v>
      </c>
      <c r="L24" s="11">
        <f t="shared" si="0"/>
        <v>9</v>
      </c>
      <c r="M24" s="11">
        <f t="shared" si="0"/>
        <v>10</v>
      </c>
      <c r="N24" s="11">
        <f t="shared" si="0"/>
        <v>11</v>
      </c>
      <c r="O24" s="11">
        <f t="shared" si="0"/>
        <v>12</v>
      </c>
      <c r="P24" s="11">
        <f t="shared" si="0"/>
        <v>13</v>
      </c>
      <c r="Q24" s="11">
        <f t="shared" si="0"/>
        <v>14</v>
      </c>
      <c r="R24" s="11">
        <f t="shared" si="0"/>
        <v>15</v>
      </c>
      <c r="S24" s="11">
        <f t="shared" si="0"/>
        <v>16</v>
      </c>
      <c r="T24" s="11">
        <f t="shared" si="0"/>
        <v>17</v>
      </c>
      <c r="U24" s="11">
        <f t="shared" si="0"/>
        <v>18</v>
      </c>
      <c r="V24" s="11">
        <f t="shared" si="0"/>
        <v>19</v>
      </c>
      <c r="W24" s="11">
        <f t="shared" si="0"/>
        <v>20</v>
      </c>
      <c r="X24" s="11">
        <f t="shared" si="0"/>
        <v>21</v>
      </c>
      <c r="Y24" s="11">
        <f t="shared" si="0"/>
        <v>22</v>
      </c>
      <c r="Z24" s="11">
        <f t="shared" si="0"/>
        <v>23</v>
      </c>
      <c r="AA24" s="11">
        <f t="shared" si="0"/>
        <v>24</v>
      </c>
      <c r="AB24" s="11">
        <f t="shared" si="0"/>
        <v>25</v>
      </c>
      <c r="AC24" s="11">
        <f t="shared" si="0"/>
        <v>26</v>
      </c>
      <c r="AD24" s="11">
        <f t="shared" si="0"/>
        <v>27</v>
      </c>
      <c r="AE24" s="11">
        <f t="shared" si="0"/>
        <v>28</v>
      </c>
      <c r="AF24" s="11">
        <f t="shared" si="0"/>
        <v>29</v>
      </c>
      <c r="AG24" s="11">
        <f t="shared" si="0"/>
        <v>30</v>
      </c>
      <c r="AH24" s="11">
        <f t="shared" si="0"/>
        <v>31</v>
      </c>
      <c r="AI24" s="11">
        <f t="shared" si="0"/>
        <v>32</v>
      </c>
    </row>
    <row r="25" spans="2:35" x14ac:dyDescent="0.25">
      <c r="B25" t="s">
        <v>19</v>
      </c>
      <c r="D25" s="3">
        <f>C8</f>
        <v>65</v>
      </c>
      <c r="E25" s="3">
        <f>D25+1</f>
        <v>66</v>
      </c>
      <c r="F25" s="3">
        <f t="shared" si="0"/>
        <v>67</v>
      </c>
      <c r="G25" s="3">
        <f t="shared" si="0"/>
        <v>68</v>
      </c>
      <c r="H25" s="3">
        <f t="shared" si="0"/>
        <v>69</v>
      </c>
      <c r="I25" s="3">
        <f t="shared" si="0"/>
        <v>70</v>
      </c>
      <c r="J25" s="3">
        <f t="shared" si="0"/>
        <v>71</v>
      </c>
      <c r="K25" s="3">
        <f t="shared" si="0"/>
        <v>72</v>
      </c>
      <c r="L25" s="10">
        <f t="shared" si="0"/>
        <v>73</v>
      </c>
      <c r="M25" s="10">
        <f t="shared" si="0"/>
        <v>74</v>
      </c>
      <c r="N25" s="10">
        <f t="shared" si="0"/>
        <v>75</v>
      </c>
      <c r="O25" s="10">
        <f t="shared" si="0"/>
        <v>76</v>
      </c>
      <c r="P25" s="10">
        <f t="shared" si="0"/>
        <v>77</v>
      </c>
      <c r="Q25" s="10">
        <f t="shared" si="0"/>
        <v>78</v>
      </c>
      <c r="R25" s="10">
        <f t="shared" si="0"/>
        <v>79</v>
      </c>
      <c r="S25" s="10">
        <f t="shared" si="0"/>
        <v>80</v>
      </c>
      <c r="T25" s="10">
        <f t="shared" si="0"/>
        <v>81</v>
      </c>
      <c r="U25" s="10">
        <f t="shared" si="0"/>
        <v>82</v>
      </c>
      <c r="V25" s="10">
        <f t="shared" si="0"/>
        <v>83</v>
      </c>
      <c r="W25" s="10">
        <f t="shared" si="0"/>
        <v>84</v>
      </c>
      <c r="X25" s="10">
        <f t="shared" si="0"/>
        <v>85</v>
      </c>
      <c r="Y25" s="10">
        <f t="shared" si="0"/>
        <v>86</v>
      </c>
      <c r="Z25" s="10">
        <f t="shared" si="0"/>
        <v>87</v>
      </c>
      <c r="AA25" s="10">
        <f t="shared" si="0"/>
        <v>88</v>
      </c>
      <c r="AB25" s="10">
        <f t="shared" si="0"/>
        <v>89</v>
      </c>
      <c r="AC25" s="10">
        <f t="shared" si="0"/>
        <v>90</v>
      </c>
      <c r="AD25" s="10">
        <f t="shared" si="0"/>
        <v>91</v>
      </c>
      <c r="AE25" s="10">
        <f t="shared" si="0"/>
        <v>92</v>
      </c>
      <c r="AF25" s="10">
        <f t="shared" si="0"/>
        <v>93</v>
      </c>
      <c r="AG25" s="10">
        <f t="shared" si="0"/>
        <v>94</v>
      </c>
      <c r="AH25" s="10">
        <f t="shared" si="0"/>
        <v>95</v>
      </c>
      <c r="AI25" s="10">
        <f t="shared" si="0"/>
        <v>96</v>
      </c>
    </row>
    <row r="26" spans="2:35" x14ac:dyDescent="0.25">
      <c r="B26" t="s">
        <v>20</v>
      </c>
      <c r="D26" s="3">
        <f>C11</f>
        <v>62</v>
      </c>
      <c r="E26" s="3">
        <f>D26+1</f>
        <v>63</v>
      </c>
      <c r="F26" s="3">
        <f t="shared" si="0"/>
        <v>64</v>
      </c>
      <c r="G26" s="3">
        <f t="shared" si="0"/>
        <v>65</v>
      </c>
      <c r="H26" s="3">
        <f t="shared" si="0"/>
        <v>66</v>
      </c>
      <c r="I26" s="3">
        <f t="shared" si="0"/>
        <v>67</v>
      </c>
      <c r="J26" s="3">
        <f t="shared" si="0"/>
        <v>68</v>
      </c>
      <c r="K26" s="3">
        <f t="shared" si="0"/>
        <v>69</v>
      </c>
      <c r="L26" s="10">
        <f t="shared" si="0"/>
        <v>70</v>
      </c>
      <c r="M26" s="10">
        <f t="shared" si="0"/>
        <v>71</v>
      </c>
      <c r="N26" s="10">
        <f t="shared" si="0"/>
        <v>72</v>
      </c>
      <c r="O26" s="10">
        <f t="shared" si="0"/>
        <v>73</v>
      </c>
      <c r="P26" s="10">
        <f t="shared" si="0"/>
        <v>74</v>
      </c>
      <c r="Q26" s="10">
        <f t="shared" si="0"/>
        <v>75</v>
      </c>
      <c r="R26" s="10">
        <f t="shared" si="0"/>
        <v>76</v>
      </c>
      <c r="S26" s="10">
        <f t="shared" si="0"/>
        <v>77</v>
      </c>
      <c r="T26" s="10">
        <f t="shared" si="0"/>
        <v>78</v>
      </c>
      <c r="U26" s="10">
        <f t="shared" si="0"/>
        <v>79</v>
      </c>
      <c r="V26" s="10">
        <f t="shared" si="0"/>
        <v>80</v>
      </c>
      <c r="W26" s="10">
        <f t="shared" si="0"/>
        <v>81</v>
      </c>
      <c r="X26" s="10">
        <f t="shared" si="0"/>
        <v>82</v>
      </c>
      <c r="Y26" s="10">
        <f t="shared" si="0"/>
        <v>83</v>
      </c>
      <c r="Z26" s="10">
        <f t="shared" si="0"/>
        <v>84</v>
      </c>
      <c r="AA26" s="10">
        <f t="shared" si="0"/>
        <v>85</v>
      </c>
      <c r="AB26" s="10">
        <f t="shared" si="0"/>
        <v>86</v>
      </c>
      <c r="AC26" s="10">
        <f t="shared" si="0"/>
        <v>87</v>
      </c>
      <c r="AD26" s="10">
        <f t="shared" si="0"/>
        <v>88</v>
      </c>
      <c r="AE26" s="10">
        <f t="shared" si="0"/>
        <v>89</v>
      </c>
      <c r="AF26" s="10">
        <f t="shared" si="0"/>
        <v>90</v>
      </c>
      <c r="AG26" s="10">
        <f t="shared" si="0"/>
        <v>91</v>
      </c>
      <c r="AH26" s="10">
        <f t="shared" si="0"/>
        <v>92</v>
      </c>
      <c r="AI26" s="10">
        <f t="shared" si="0"/>
        <v>93</v>
      </c>
    </row>
    <row r="27" spans="2:35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9" spans="2:35" x14ac:dyDescent="0.25">
      <c r="B29" t="s">
        <v>0</v>
      </c>
      <c r="D29" s="13">
        <v>88801.295185248018</v>
      </c>
      <c r="E29" s="8">
        <f>D58</f>
        <v>14405.398800067851</v>
      </c>
      <c r="F29" s="8">
        <f t="shared" ref="F29:AI29" si="1">E58</f>
        <v>14057.830704073278</v>
      </c>
      <c r="G29" s="8">
        <f t="shared" si="1"/>
        <v>13682.457160399139</v>
      </c>
      <c r="H29" s="8">
        <f t="shared" si="1"/>
        <v>13277.053733231071</v>
      </c>
      <c r="I29" s="8">
        <f t="shared" si="1"/>
        <v>12839.218031889555</v>
      </c>
      <c r="J29" s="8">
        <f t="shared" si="1"/>
        <v>12366.355474440719</v>
      </c>
      <c r="K29" s="8">
        <f t="shared" si="1"/>
        <v>11855.663912395978</v>
      </c>
      <c r="L29" s="8">
        <f t="shared" si="1"/>
        <v>11304.117025387655</v>
      </c>
      <c r="M29" s="8">
        <f t="shared" si="1"/>
        <v>10708.446387418668</v>
      </c>
      <c r="N29" s="8">
        <f t="shared" si="1"/>
        <v>10065.122098412161</v>
      </c>
      <c r="O29" s="8">
        <f t="shared" si="1"/>
        <v>9370.3318662851343</v>
      </c>
      <c r="P29" s="8">
        <f t="shared" si="1"/>
        <v>8619.9584155879456</v>
      </c>
      <c r="Q29" s="8">
        <f t="shared" si="1"/>
        <v>7809.5550888349808</v>
      </c>
      <c r="R29" s="8">
        <f t="shared" si="1"/>
        <v>6934.3194959417797</v>
      </c>
      <c r="S29" s="8">
        <f t="shared" si="1"/>
        <v>5989.0650556171222</v>
      </c>
      <c r="T29" s="8">
        <f t="shared" si="1"/>
        <v>4968.1902600664916</v>
      </c>
      <c r="U29" s="8">
        <f t="shared" si="1"/>
        <v>3865.6454808718108</v>
      </c>
      <c r="V29" s="8">
        <f t="shared" si="1"/>
        <v>2674.8971193415555</v>
      </c>
      <c r="W29" s="8">
        <f t="shared" si="1"/>
        <v>1388.88888888888</v>
      </c>
      <c r="X29" s="8">
        <f t="shared" si="1"/>
        <v>-9.5496943686157465E-12</v>
      </c>
      <c r="Y29" s="8">
        <f t="shared" si="1"/>
        <v>-9.5496943686157465E-12</v>
      </c>
      <c r="Z29" s="8">
        <f t="shared" si="1"/>
        <v>-9.5496943686157465E-12</v>
      </c>
      <c r="AA29" s="8">
        <f t="shared" si="1"/>
        <v>-9.5496943686157465E-12</v>
      </c>
      <c r="AB29" s="8">
        <f t="shared" si="1"/>
        <v>-9.5496943686157465E-12</v>
      </c>
      <c r="AC29" s="8">
        <f t="shared" si="1"/>
        <v>-9.5496943686157465E-12</v>
      </c>
      <c r="AD29" s="8">
        <f t="shared" si="1"/>
        <v>-9.5496943686157465E-12</v>
      </c>
      <c r="AE29" s="8">
        <f t="shared" si="1"/>
        <v>-9.5496943686157465E-12</v>
      </c>
      <c r="AF29" s="8">
        <f t="shared" si="1"/>
        <v>-9.5496943686157465E-12</v>
      </c>
      <c r="AG29" s="8">
        <f t="shared" si="1"/>
        <v>-9.5496943686157465E-12</v>
      </c>
      <c r="AH29" s="8">
        <f t="shared" si="1"/>
        <v>-9.5496943686157465E-12</v>
      </c>
      <c r="AI29" s="8">
        <f t="shared" si="1"/>
        <v>-9.5496943686157465E-12</v>
      </c>
    </row>
    <row r="30" spans="2:35" x14ac:dyDescent="0.25">
      <c r="B30" t="s">
        <v>2</v>
      </c>
      <c r="D30" s="9">
        <f>C20</f>
        <v>3.5000000000000003E-2</v>
      </c>
      <c r="E30" s="1">
        <f>D30</f>
        <v>3.5000000000000003E-2</v>
      </c>
      <c r="F30" s="1">
        <f t="shared" ref="F30:AI30" si="2">E30</f>
        <v>3.5000000000000003E-2</v>
      </c>
      <c r="G30" s="1">
        <f t="shared" si="2"/>
        <v>3.5000000000000003E-2</v>
      </c>
      <c r="H30" s="1">
        <f t="shared" si="2"/>
        <v>3.5000000000000003E-2</v>
      </c>
      <c r="I30" s="1">
        <f t="shared" si="2"/>
        <v>3.5000000000000003E-2</v>
      </c>
      <c r="J30" s="1">
        <f t="shared" si="2"/>
        <v>3.5000000000000003E-2</v>
      </c>
      <c r="K30" s="1">
        <f t="shared" si="2"/>
        <v>3.5000000000000003E-2</v>
      </c>
      <c r="L30" s="1">
        <f t="shared" si="2"/>
        <v>3.5000000000000003E-2</v>
      </c>
      <c r="M30" s="1">
        <f t="shared" si="2"/>
        <v>3.5000000000000003E-2</v>
      </c>
      <c r="N30" s="1">
        <f t="shared" si="2"/>
        <v>3.5000000000000003E-2</v>
      </c>
      <c r="O30" s="1">
        <f t="shared" si="2"/>
        <v>3.5000000000000003E-2</v>
      </c>
      <c r="P30" s="1">
        <f t="shared" si="2"/>
        <v>3.5000000000000003E-2</v>
      </c>
      <c r="Q30" s="1">
        <f t="shared" si="2"/>
        <v>3.5000000000000003E-2</v>
      </c>
      <c r="R30" s="1">
        <f t="shared" si="2"/>
        <v>3.5000000000000003E-2</v>
      </c>
      <c r="S30" s="1">
        <f t="shared" si="2"/>
        <v>3.5000000000000003E-2</v>
      </c>
      <c r="T30" s="1">
        <f t="shared" si="2"/>
        <v>3.5000000000000003E-2</v>
      </c>
      <c r="U30" s="1">
        <f t="shared" si="2"/>
        <v>3.5000000000000003E-2</v>
      </c>
      <c r="V30" s="1">
        <f t="shared" si="2"/>
        <v>3.5000000000000003E-2</v>
      </c>
      <c r="W30" s="1">
        <f t="shared" si="2"/>
        <v>3.5000000000000003E-2</v>
      </c>
      <c r="X30" s="1">
        <f t="shared" si="2"/>
        <v>3.5000000000000003E-2</v>
      </c>
      <c r="Y30" s="1">
        <f t="shared" si="2"/>
        <v>3.5000000000000003E-2</v>
      </c>
      <c r="Z30" s="1">
        <f t="shared" si="2"/>
        <v>3.5000000000000003E-2</v>
      </c>
      <c r="AA30" s="1">
        <f t="shared" si="2"/>
        <v>3.5000000000000003E-2</v>
      </c>
      <c r="AB30" s="1">
        <f t="shared" si="2"/>
        <v>3.5000000000000003E-2</v>
      </c>
      <c r="AC30" s="1">
        <f t="shared" si="2"/>
        <v>3.5000000000000003E-2</v>
      </c>
      <c r="AD30" s="1">
        <f t="shared" si="2"/>
        <v>3.5000000000000003E-2</v>
      </c>
      <c r="AE30" s="1">
        <f t="shared" si="2"/>
        <v>3.5000000000000003E-2</v>
      </c>
      <c r="AF30" s="1">
        <f t="shared" si="2"/>
        <v>3.5000000000000003E-2</v>
      </c>
      <c r="AG30" s="1">
        <f t="shared" si="2"/>
        <v>3.5000000000000003E-2</v>
      </c>
      <c r="AH30" s="1">
        <f t="shared" si="2"/>
        <v>3.5000000000000003E-2</v>
      </c>
      <c r="AI30" s="1">
        <f t="shared" si="2"/>
        <v>3.5000000000000003E-2</v>
      </c>
    </row>
    <row r="31" spans="2:35" x14ac:dyDescent="0.25">
      <c r="B31" t="s">
        <v>1</v>
      </c>
      <c r="D31" s="10">
        <f>D29*D30</f>
        <v>3108.0453314836809</v>
      </c>
      <c r="E31" s="3">
        <f t="shared" ref="E31:AI31" si="3">E29*E30</f>
        <v>504.18895800237482</v>
      </c>
      <c r="F31" s="3">
        <f t="shared" si="3"/>
        <v>492.02407464256476</v>
      </c>
      <c r="G31" s="3">
        <f t="shared" si="3"/>
        <v>478.88600061396988</v>
      </c>
      <c r="H31" s="3">
        <f t="shared" si="3"/>
        <v>464.69688066308748</v>
      </c>
      <c r="I31" s="3">
        <f t="shared" si="3"/>
        <v>449.37263111613447</v>
      </c>
      <c r="J31" s="3">
        <f t="shared" si="3"/>
        <v>432.82244160542524</v>
      </c>
      <c r="K31" s="3">
        <f t="shared" si="3"/>
        <v>414.94823693385928</v>
      </c>
      <c r="L31" s="3">
        <f t="shared" si="3"/>
        <v>395.64409588856796</v>
      </c>
      <c r="M31" s="3">
        <f t="shared" si="3"/>
        <v>374.79562355965339</v>
      </c>
      <c r="N31" s="3">
        <f t="shared" si="3"/>
        <v>352.27927344442566</v>
      </c>
      <c r="O31" s="3">
        <f t="shared" si="3"/>
        <v>327.96161531997973</v>
      </c>
      <c r="P31" s="3">
        <f t="shared" si="3"/>
        <v>301.6985445455781</v>
      </c>
      <c r="Q31" s="3">
        <f t="shared" si="3"/>
        <v>273.33442810922435</v>
      </c>
      <c r="R31" s="3">
        <f t="shared" si="3"/>
        <v>242.70118235796232</v>
      </c>
      <c r="S31" s="3">
        <f t="shared" si="3"/>
        <v>209.6172769465993</v>
      </c>
      <c r="T31" s="3">
        <f t="shared" si="3"/>
        <v>173.88665910232723</v>
      </c>
      <c r="U31" s="3">
        <f t="shared" si="3"/>
        <v>135.2975918305134</v>
      </c>
      <c r="V31" s="3">
        <f t="shared" si="3"/>
        <v>93.621399176954455</v>
      </c>
      <c r="W31" s="3">
        <f t="shared" si="3"/>
        <v>48.611111111110809</v>
      </c>
      <c r="X31" s="3">
        <f t="shared" si="3"/>
        <v>-3.3423930290155117E-13</v>
      </c>
      <c r="Y31" s="3">
        <f t="shared" si="3"/>
        <v>-3.3423930290155117E-13</v>
      </c>
      <c r="Z31" s="3">
        <f t="shared" si="3"/>
        <v>-3.3423930290155117E-13</v>
      </c>
      <c r="AA31" s="3">
        <f t="shared" si="3"/>
        <v>-3.3423930290155117E-13</v>
      </c>
      <c r="AB31" s="3">
        <f t="shared" si="3"/>
        <v>-3.3423930290155117E-13</v>
      </c>
      <c r="AC31" s="3">
        <f t="shared" si="3"/>
        <v>-3.3423930290155117E-13</v>
      </c>
      <c r="AD31" s="3">
        <f t="shared" si="3"/>
        <v>-3.3423930290155117E-13</v>
      </c>
      <c r="AE31" s="3">
        <f t="shared" si="3"/>
        <v>-3.3423930290155117E-13</v>
      </c>
      <c r="AF31" s="3">
        <f t="shared" si="3"/>
        <v>-3.3423930290155117E-13</v>
      </c>
      <c r="AG31" s="3">
        <f t="shared" si="3"/>
        <v>-3.3423930290155117E-13</v>
      </c>
      <c r="AH31" s="3">
        <f t="shared" si="3"/>
        <v>-3.3423930290155117E-13</v>
      </c>
      <c r="AI31" s="3">
        <f t="shared" si="3"/>
        <v>-3.3423930290155117E-13</v>
      </c>
    </row>
    <row r="32" spans="2:35" x14ac:dyDescent="0.25">
      <c r="B32" t="s">
        <v>4</v>
      </c>
      <c r="D32" s="9">
        <f>C14</f>
        <v>0</v>
      </c>
      <c r="E32" s="4">
        <f>D32</f>
        <v>0</v>
      </c>
      <c r="F32" s="4">
        <f t="shared" ref="F32:AI32" si="4">E32</f>
        <v>0</v>
      </c>
      <c r="G32" s="4">
        <f t="shared" si="4"/>
        <v>0</v>
      </c>
      <c r="H32" s="4">
        <f t="shared" si="4"/>
        <v>0</v>
      </c>
      <c r="I32" s="4">
        <f t="shared" si="4"/>
        <v>0</v>
      </c>
      <c r="J32" s="4">
        <f t="shared" si="4"/>
        <v>0</v>
      </c>
      <c r="K32" s="4">
        <f t="shared" si="4"/>
        <v>0</v>
      </c>
      <c r="L32" s="4">
        <f t="shared" si="4"/>
        <v>0</v>
      </c>
      <c r="M32" s="4">
        <f t="shared" si="4"/>
        <v>0</v>
      </c>
      <c r="N32" s="4">
        <f t="shared" si="4"/>
        <v>0</v>
      </c>
      <c r="O32" s="4">
        <f t="shared" si="4"/>
        <v>0</v>
      </c>
      <c r="P32" s="4">
        <f t="shared" si="4"/>
        <v>0</v>
      </c>
      <c r="Q32" s="4">
        <f t="shared" si="4"/>
        <v>0</v>
      </c>
      <c r="R32" s="4">
        <f t="shared" si="4"/>
        <v>0</v>
      </c>
      <c r="S32" s="4">
        <f t="shared" si="4"/>
        <v>0</v>
      </c>
      <c r="T32" s="4">
        <f t="shared" si="4"/>
        <v>0</v>
      </c>
      <c r="U32" s="4">
        <f t="shared" si="4"/>
        <v>0</v>
      </c>
      <c r="V32" s="4">
        <f t="shared" si="4"/>
        <v>0</v>
      </c>
      <c r="W32" s="4">
        <f t="shared" si="4"/>
        <v>0</v>
      </c>
      <c r="X32" s="4">
        <f t="shared" si="4"/>
        <v>0</v>
      </c>
      <c r="Y32" s="4">
        <f t="shared" si="4"/>
        <v>0</v>
      </c>
      <c r="Z32" s="4">
        <f t="shared" si="4"/>
        <v>0</v>
      </c>
      <c r="AA32" s="4">
        <f t="shared" si="4"/>
        <v>0</v>
      </c>
      <c r="AB32" s="4">
        <f t="shared" si="4"/>
        <v>0</v>
      </c>
      <c r="AC32" s="4">
        <f t="shared" si="4"/>
        <v>0</v>
      </c>
      <c r="AD32" s="4">
        <f t="shared" si="4"/>
        <v>0</v>
      </c>
      <c r="AE32" s="4">
        <f t="shared" si="4"/>
        <v>0</v>
      </c>
      <c r="AF32" s="4">
        <f t="shared" si="4"/>
        <v>0</v>
      </c>
      <c r="AG32" s="4">
        <f t="shared" si="4"/>
        <v>0</v>
      </c>
      <c r="AH32" s="4">
        <f t="shared" si="4"/>
        <v>0</v>
      </c>
      <c r="AI32" s="4">
        <f t="shared" si="4"/>
        <v>0</v>
      </c>
    </row>
    <row r="33" spans="2:35" x14ac:dyDescent="0.25">
      <c r="B33" t="s">
        <v>5</v>
      </c>
      <c r="D33" s="10">
        <f>IF((D31*D32)&lt;0,0,(D31*D32))</f>
        <v>0</v>
      </c>
      <c r="E33" s="10">
        <f t="shared" ref="E33:AI33" si="5">IF((E31*E32)&lt;0,0,(E31*E32))</f>
        <v>0</v>
      </c>
      <c r="F33" s="10">
        <f t="shared" si="5"/>
        <v>0</v>
      </c>
      <c r="G33" s="10">
        <f t="shared" si="5"/>
        <v>0</v>
      </c>
      <c r="H33" s="10">
        <f t="shared" si="5"/>
        <v>0</v>
      </c>
      <c r="I33" s="10">
        <f t="shared" si="5"/>
        <v>0</v>
      </c>
      <c r="J33" s="10">
        <f t="shared" si="5"/>
        <v>0</v>
      </c>
      <c r="K33" s="10">
        <f t="shared" si="5"/>
        <v>0</v>
      </c>
      <c r="L33" s="10">
        <f t="shared" si="5"/>
        <v>0</v>
      </c>
      <c r="M33" s="10">
        <f t="shared" si="5"/>
        <v>0</v>
      </c>
      <c r="N33" s="10">
        <f t="shared" si="5"/>
        <v>0</v>
      </c>
      <c r="O33" s="10">
        <f t="shared" si="5"/>
        <v>0</v>
      </c>
      <c r="P33" s="10">
        <f t="shared" si="5"/>
        <v>0</v>
      </c>
      <c r="Q33" s="10">
        <f t="shared" si="5"/>
        <v>0</v>
      </c>
      <c r="R33" s="10">
        <f t="shared" si="5"/>
        <v>0</v>
      </c>
      <c r="S33" s="10">
        <f t="shared" si="5"/>
        <v>0</v>
      </c>
      <c r="T33" s="10">
        <f t="shared" si="5"/>
        <v>0</v>
      </c>
      <c r="U33" s="10">
        <f t="shared" si="5"/>
        <v>0</v>
      </c>
      <c r="V33" s="10">
        <f t="shared" si="5"/>
        <v>0</v>
      </c>
      <c r="W33" s="10">
        <f t="shared" si="5"/>
        <v>0</v>
      </c>
      <c r="X33" s="10">
        <f t="shared" si="5"/>
        <v>0</v>
      </c>
      <c r="Y33" s="10">
        <f t="shared" si="5"/>
        <v>0</v>
      </c>
      <c r="Z33" s="10">
        <f t="shared" si="5"/>
        <v>0</v>
      </c>
      <c r="AA33" s="10">
        <f t="shared" si="5"/>
        <v>0</v>
      </c>
      <c r="AB33" s="10">
        <f t="shared" si="5"/>
        <v>0</v>
      </c>
      <c r="AC33" s="10">
        <f t="shared" si="5"/>
        <v>0</v>
      </c>
      <c r="AD33" s="10">
        <f t="shared" si="5"/>
        <v>0</v>
      </c>
      <c r="AE33" s="10">
        <f t="shared" si="5"/>
        <v>0</v>
      </c>
      <c r="AF33" s="10">
        <f t="shared" si="5"/>
        <v>0</v>
      </c>
      <c r="AG33" s="10">
        <f t="shared" si="5"/>
        <v>0</v>
      </c>
      <c r="AH33" s="10">
        <f t="shared" si="5"/>
        <v>0</v>
      </c>
      <c r="AI33" s="10">
        <f t="shared" si="5"/>
        <v>0</v>
      </c>
    </row>
    <row r="34" spans="2:35" x14ac:dyDescent="0.25">
      <c r="B34" t="s">
        <v>6</v>
      </c>
      <c r="D34" s="10">
        <f>IF((D31-D33)&lt;0,0,(D31-D33))</f>
        <v>3108.0453314836809</v>
      </c>
      <c r="E34" s="10">
        <f t="shared" ref="E34:AI34" si="6">IF((E31-E33)&lt;0,0,(E31-E33))</f>
        <v>504.18895800237482</v>
      </c>
      <c r="F34" s="10">
        <f t="shared" si="6"/>
        <v>492.02407464256476</v>
      </c>
      <c r="G34" s="10">
        <f t="shared" si="6"/>
        <v>478.88600061396988</v>
      </c>
      <c r="H34" s="10">
        <f t="shared" si="6"/>
        <v>464.69688066308748</v>
      </c>
      <c r="I34" s="10">
        <f t="shared" si="6"/>
        <v>449.37263111613447</v>
      </c>
      <c r="J34" s="10">
        <f t="shared" si="6"/>
        <v>432.82244160542524</v>
      </c>
      <c r="K34" s="10">
        <f t="shared" si="6"/>
        <v>414.94823693385928</v>
      </c>
      <c r="L34" s="10">
        <f t="shared" si="6"/>
        <v>395.64409588856796</v>
      </c>
      <c r="M34" s="10">
        <f t="shared" si="6"/>
        <v>374.79562355965339</v>
      </c>
      <c r="N34" s="10">
        <f t="shared" si="6"/>
        <v>352.27927344442566</v>
      </c>
      <c r="O34" s="10">
        <f t="shared" si="6"/>
        <v>327.96161531997973</v>
      </c>
      <c r="P34" s="10">
        <f t="shared" si="6"/>
        <v>301.6985445455781</v>
      </c>
      <c r="Q34" s="10">
        <f t="shared" si="6"/>
        <v>273.33442810922435</v>
      </c>
      <c r="R34" s="10">
        <f t="shared" si="6"/>
        <v>242.70118235796232</v>
      </c>
      <c r="S34" s="10">
        <f t="shared" si="6"/>
        <v>209.6172769465993</v>
      </c>
      <c r="T34" s="10">
        <f t="shared" si="6"/>
        <v>173.88665910232723</v>
      </c>
      <c r="U34" s="10">
        <f t="shared" si="6"/>
        <v>135.2975918305134</v>
      </c>
      <c r="V34" s="10">
        <f t="shared" si="6"/>
        <v>93.621399176954455</v>
      </c>
      <c r="W34" s="10">
        <f t="shared" si="6"/>
        <v>48.611111111110809</v>
      </c>
      <c r="X34" s="10">
        <f t="shared" si="6"/>
        <v>0</v>
      </c>
      <c r="Y34" s="10">
        <f t="shared" si="6"/>
        <v>0</v>
      </c>
      <c r="Z34" s="10">
        <f t="shared" si="6"/>
        <v>0</v>
      </c>
      <c r="AA34" s="10">
        <f t="shared" si="6"/>
        <v>0</v>
      </c>
      <c r="AB34" s="10">
        <f t="shared" si="6"/>
        <v>0</v>
      </c>
      <c r="AC34" s="10">
        <f t="shared" si="6"/>
        <v>0</v>
      </c>
      <c r="AD34" s="10">
        <f t="shared" si="6"/>
        <v>0</v>
      </c>
      <c r="AE34" s="10">
        <f t="shared" si="6"/>
        <v>0</v>
      </c>
      <c r="AF34" s="10">
        <f t="shared" si="6"/>
        <v>0</v>
      </c>
      <c r="AG34" s="10">
        <f t="shared" si="6"/>
        <v>0</v>
      </c>
      <c r="AH34" s="10">
        <f t="shared" si="6"/>
        <v>0</v>
      </c>
      <c r="AI34" s="10">
        <f t="shared" si="6"/>
        <v>0</v>
      </c>
    </row>
    <row r="35" spans="2:35" x14ac:dyDescent="0.25">
      <c r="D35" s="11"/>
    </row>
    <row r="36" spans="2:35" x14ac:dyDescent="0.25">
      <c r="B36" t="s">
        <v>7</v>
      </c>
      <c r="D36" s="9">
        <f>C21</f>
        <v>4.4999999999999998E-2</v>
      </c>
      <c r="E36" s="1">
        <f>D36</f>
        <v>4.4999999999999998E-2</v>
      </c>
      <c r="F36" s="1">
        <f t="shared" ref="F36:AI36" si="7">E36</f>
        <v>4.4999999999999998E-2</v>
      </c>
      <c r="G36" s="1">
        <f t="shared" si="7"/>
        <v>4.4999999999999998E-2</v>
      </c>
      <c r="H36" s="1">
        <f t="shared" si="7"/>
        <v>4.4999999999999998E-2</v>
      </c>
      <c r="I36" s="1">
        <f t="shared" si="7"/>
        <v>4.4999999999999998E-2</v>
      </c>
      <c r="J36" s="1">
        <f t="shared" si="7"/>
        <v>4.4999999999999998E-2</v>
      </c>
      <c r="K36" s="1">
        <f t="shared" si="7"/>
        <v>4.4999999999999998E-2</v>
      </c>
      <c r="L36" s="1">
        <f t="shared" si="7"/>
        <v>4.4999999999999998E-2</v>
      </c>
      <c r="M36" s="1">
        <f t="shared" si="7"/>
        <v>4.4999999999999998E-2</v>
      </c>
      <c r="N36" s="1">
        <f t="shared" si="7"/>
        <v>4.4999999999999998E-2</v>
      </c>
      <c r="O36" s="1">
        <f t="shared" si="7"/>
        <v>4.4999999999999998E-2</v>
      </c>
      <c r="P36" s="1">
        <f t="shared" si="7"/>
        <v>4.4999999999999998E-2</v>
      </c>
      <c r="Q36" s="1">
        <f t="shared" si="7"/>
        <v>4.4999999999999998E-2</v>
      </c>
      <c r="R36" s="1">
        <f t="shared" si="7"/>
        <v>4.4999999999999998E-2</v>
      </c>
      <c r="S36" s="1">
        <f t="shared" si="7"/>
        <v>4.4999999999999998E-2</v>
      </c>
      <c r="T36" s="1">
        <f t="shared" si="7"/>
        <v>4.4999999999999998E-2</v>
      </c>
      <c r="U36" s="1">
        <f t="shared" si="7"/>
        <v>4.4999999999999998E-2</v>
      </c>
      <c r="V36" s="1">
        <f t="shared" si="7"/>
        <v>4.4999999999999998E-2</v>
      </c>
      <c r="W36" s="1">
        <f t="shared" si="7"/>
        <v>4.4999999999999998E-2</v>
      </c>
      <c r="X36" s="1">
        <f t="shared" si="7"/>
        <v>4.4999999999999998E-2</v>
      </c>
      <c r="Y36" s="1">
        <f t="shared" si="7"/>
        <v>4.4999999999999998E-2</v>
      </c>
      <c r="Z36" s="1">
        <f t="shared" si="7"/>
        <v>4.4999999999999998E-2</v>
      </c>
      <c r="AA36" s="1">
        <f t="shared" si="7"/>
        <v>4.4999999999999998E-2</v>
      </c>
      <c r="AB36" s="1">
        <f t="shared" si="7"/>
        <v>4.4999999999999998E-2</v>
      </c>
      <c r="AC36" s="1">
        <f t="shared" si="7"/>
        <v>4.4999999999999998E-2</v>
      </c>
      <c r="AD36" s="1">
        <f t="shared" si="7"/>
        <v>4.4999999999999998E-2</v>
      </c>
      <c r="AE36" s="1">
        <f t="shared" si="7"/>
        <v>4.4999999999999998E-2</v>
      </c>
      <c r="AF36" s="1">
        <f t="shared" si="7"/>
        <v>4.4999999999999998E-2</v>
      </c>
      <c r="AG36" s="1">
        <f t="shared" si="7"/>
        <v>4.4999999999999998E-2</v>
      </c>
      <c r="AH36" s="1">
        <f t="shared" si="7"/>
        <v>4.4999999999999998E-2</v>
      </c>
      <c r="AI36" s="1">
        <f t="shared" si="7"/>
        <v>4.4999999999999998E-2</v>
      </c>
    </row>
    <row r="37" spans="2:35" x14ac:dyDescent="0.25">
      <c r="B37" t="s">
        <v>8</v>
      </c>
      <c r="D37" s="10">
        <f>IF((D36*D29)&lt;0,0,(D36*D29))</f>
        <v>3996.0582833361605</v>
      </c>
      <c r="E37" s="10">
        <f t="shared" ref="E37:AI37" si="8">IF((E36*E29)&lt;0,0,(E36*E29))</f>
        <v>648.24294600305325</v>
      </c>
      <c r="F37" s="10">
        <f t="shared" si="8"/>
        <v>632.60238168329749</v>
      </c>
      <c r="G37" s="10">
        <f t="shared" si="8"/>
        <v>615.71057221796127</v>
      </c>
      <c r="H37" s="10">
        <f t="shared" si="8"/>
        <v>597.46741799539814</v>
      </c>
      <c r="I37" s="10">
        <f t="shared" si="8"/>
        <v>577.76481143502997</v>
      </c>
      <c r="J37" s="10">
        <f t="shared" si="8"/>
        <v>556.48599634983236</v>
      </c>
      <c r="K37" s="10">
        <f t="shared" si="8"/>
        <v>533.50487605781893</v>
      </c>
      <c r="L37" s="10">
        <f t="shared" si="8"/>
        <v>508.68526614244445</v>
      </c>
      <c r="M37" s="10">
        <f t="shared" si="8"/>
        <v>481.88008743384</v>
      </c>
      <c r="N37" s="10">
        <f t="shared" si="8"/>
        <v>452.93049442854721</v>
      </c>
      <c r="O37" s="10">
        <f t="shared" si="8"/>
        <v>421.66493398283103</v>
      </c>
      <c r="P37" s="10">
        <f t="shared" si="8"/>
        <v>387.89812870145755</v>
      </c>
      <c r="Q37" s="10">
        <f t="shared" si="8"/>
        <v>351.4299789975741</v>
      </c>
      <c r="R37" s="10">
        <f t="shared" si="8"/>
        <v>312.04437731738005</v>
      </c>
      <c r="S37" s="10">
        <f t="shared" si="8"/>
        <v>269.50792750277049</v>
      </c>
      <c r="T37" s="10">
        <f t="shared" si="8"/>
        <v>223.56856170299213</v>
      </c>
      <c r="U37" s="10">
        <f t="shared" si="8"/>
        <v>173.95404663923148</v>
      </c>
      <c r="V37" s="10">
        <f t="shared" si="8"/>
        <v>120.37037037037</v>
      </c>
      <c r="W37" s="10">
        <f t="shared" si="8"/>
        <v>62.499999999999602</v>
      </c>
      <c r="X37" s="10">
        <f t="shared" si="8"/>
        <v>0</v>
      </c>
      <c r="Y37" s="10">
        <f t="shared" si="8"/>
        <v>0</v>
      </c>
      <c r="Z37" s="10">
        <f t="shared" si="8"/>
        <v>0</v>
      </c>
      <c r="AA37" s="10">
        <f t="shared" si="8"/>
        <v>0</v>
      </c>
      <c r="AB37" s="10">
        <f t="shared" si="8"/>
        <v>0</v>
      </c>
      <c r="AC37" s="10">
        <f t="shared" si="8"/>
        <v>0</v>
      </c>
      <c r="AD37" s="10">
        <f t="shared" si="8"/>
        <v>0</v>
      </c>
      <c r="AE37" s="10">
        <f t="shared" si="8"/>
        <v>0</v>
      </c>
      <c r="AF37" s="10">
        <f t="shared" si="8"/>
        <v>0</v>
      </c>
      <c r="AG37" s="10">
        <f t="shared" si="8"/>
        <v>0</v>
      </c>
      <c r="AH37" s="10">
        <f t="shared" si="8"/>
        <v>0</v>
      </c>
      <c r="AI37" s="10">
        <f t="shared" si="8"/>
        <v>0</v>
      </c>
    </row>
    <row r="38" spans="2:35" x14ac:dyDescent="0.25">
      <c r="D38" s="11"/>
    </row>
    <row r="39" spans="2:35" x14ac:dyDescent="0.25">
      <c r="B39" t="s">
        <v>9</v>
      </c>
      <c r="D39" s="10">
        <f>D29+D34+D37</f>
        <v>95905.398800067851</v>
      </c>
      <c r="E39" s="3">
        <f t="shared" ref="E39:AI39" si="9">E29+E34+E37</f>
        <v>15557.830704073278</v>
      </c>
      <c r="F39" s="3">
        <f t="shared" si="9"/>
        <v>15182.457160399139</v>
      </c>
      <c r="G39" s="3">
        <f t="shared" si="9"/>
        <v>14777.053733231071</v>
      </c>
      <c r="H39" s="3">
        <f t="shared" si="9"/>
        <v>14339.218031889555</v>
      </c>
      <c r="I39" s="3">
        <f t="shared" si="9"/>
        <v>13866.355474440719</v>
      </c>
      <c r="J39" s="3">
        <f t="shared" si="9"/>
        <v>13355.663912395978</v>
      </c>
      <c r="K39" s="3">
        <f t="shared" si="9"/>
        <v>12804.117025387655</v>
      </c>
      <c r="L39" s="3">
        <f t="shared" si="9"/>
        <v>12208.446387418668</v>
      </c>
      <c r="M39" s="3">
        <f t="shared" si="9"/>
        <v>11565.122098412161</v>
      </c>
      <c r="N39" s="3">
        <f t="shared" si="9"/>
        <v>10870.331866285134</v>
      </c>
      <c r="O39" s="3">
        <f t="shared" si="9"/>
        <v>10119.958415587946</v>
      </c>
      <c r="P39" s="3">
        <f t="shared" si="9"/>
        <v>9309.5550888349808</v>
      </c>
      <c r="Q39" s="3">
        <f t="shared" si="9"/>
        <v>8434.3194959417797</v>
      </c>
      <c r="R39" s="3">
        <f t="shared" si="9"/>
        <v>7489.0650556171222</v>
      </c>
      <c r="S39" s="3">
        <f t="shared" si="9"/>
        <v>6468.1902600664916</v>
      </c>
      <c r="T39" s="3">
        <f t="shared" si="9"/>
        <v>5365.6454808718108</v>
      </c>
      <c r="U39" s="3">
        <f t="shared" si="9"/>
        <v>4174.8971193415555</v>
      </c>
      <c r="V39" s="3">
        <f t="shared" si="9"/>
        <v>2888.88888888888</v>
      </c>
      <c r="W39" s="3">
        <f t="shared" si="9"/>
        <v>1499.9999999999905</v>
      </c>
      <c r="X39" s="3">
        <f t="shared" si="9"/>
        <v>-9.5496943686157465E-12</v>
      </c>
      <c r="Y39" s="3">
        <f t="shared" si="9"/>
        <v>-9.5496943686157465E-12</v>
      </c>
      <c r="Z39" s="3">
        <f t="shared" si="9"/>
        <v>-9.5496943686157465E-12</v>
      </c>
      <c r="AA39" s="3">
        <f t="shared" si="9"/>
        <v>-9.5496943686157465E-12</v>
      </c>
      <c r="AB39" s="3">
        <f t="shared" si="9"/>
        <v>-9.5496943686157465E-12</v>
      </c>
      <c r="AC39" s="3">
        <f t="shared" si="9"/>
        <v>-9.5496943686157465E-12</v>
      </c>
      <c r="AD39" s="3">
        <f t="shared" si="9"/>
        <v>-9.5496943686157465E-12</v>
      </c>
      <c r="AE39" s="3">
        <f t="shared" si="9"/>
        <v>-9.5496943686157465E-12</v>
      </c>
      <c r="AF39" s="3">
        <f t="shared" si="9"/>
        <v>-9.5496943686157465E-12</v>
      </c>
      <c r="AG39" s="3">
        <f t="shared" si="9"/>
        <v>-9.5496943686157465E-12</v>
      </c>
      <c r="AH39" s="3">
        <f t="shared" si="9"/>
        <v>-9.5496943686157465E-12</v>
      </c>
      <c r="AI39" s="3">
        <f t="shared" si="9"/>
        <v>-9.5496943686157465E-12</v>
      </c>
    </row>
    <row r="40" spans="2:35" x14ac:dyDescent="0.25">
      <c r="D40" s="11"/>
    </row>
    <row r="41" spans="2:35" x14ac:dyDescent="0.25">
      <c r="B41" t="s">
        <v>42</v>
      </c>
      <c r="C41" s="2"/>
      <c r="D41" s="12">
        <v>80000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2:35" x14ac:dyDescent="0.25">
      <c r="B42" t="s">
        <v>43</v>
      </c>
      <c r="C42" s="2"/>
      <c r="D42" s="12">
        <v>0</v>
      </c>
      <c r="E42" s="2"/>
      <c r="F42" s="2"/>
      <c r="G42" s="2"/>
      <c r="H42" s="2"/>
      <c r="I42" s="2"/>
      <c r="J42" s="2"/>
      <c r="K42" s="2"/>
      <c r="L42" s="2"/>
      <c r="M42" s="2">
        <v>0</v>
      </c>
      <c r="N42" s="2"/>
      <c r="O42" s="2"/>
      <c r="P42" s="2"/>
      <c r="Q42" s="2"/>
      <c r="R42" s="2"/>
      <c r="S42" s="2"/>
      <c r="T42" s="2"/>
      <c r="U42" s="2"/>
      <c r="V42" s="2">
        <v>0</v>
      </c>
      <c r="W42" s="2"/>
      <c r="X42" s="2"/>
      <c r="Y42" s="2"/>
      <c r="Z42" s="2"/>
      <c r="AA42" s="2"/>
      <c r="AB42" s="2"/>
      <c r="AC42" s="2">
        <v>0</v>
      </c>
      <c r="AD42" s="2"/>
      <c r="AE42" s="2"/>
      <c r="AF42" s="2"/>
      <c r="AG42" s="2"/>
      <c r="AH42" s="2"/>
      <c r="AI42" s="2"/>
    </row>
    <row r="43" spans="2:35" x14ac:dyDescent="0.25">
      <c r="B43" t="s">
        <v>44</v>
      </c>
      <c r="C43" s="2"/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25">
      <c r="B44" t="s">
        <v>45</v>
      </c>
      <c r="C44" s="2">
        <v>200</v>
      </c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25">
      <c r="B45" t="s">
        <v>46</v>
      </c>
      <c r="C45" s="2">
        <v>800</v>
      </c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25">
      <c r="B46" t="s">
        <v>47</v>
      </c>
      <c r="C46" s="2">
        <v>300</v>
      </c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25">
      <c r="B47" t="s">
        <v>48</v>
      </c>
      <c r="C47" s="2">
        <v>200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25">
      <c r="B48" t="s">
        <v>49</v>
      </c>
      <c r="C48" s="2">
        <f>SUM(C44:C47)</f>
        <v>1500</v>
      </c>
      <c r="D48" s="12">
        <f>IF(D23&lt;$C$6,C48,0)</f>
        <v>1500</v>
      </c>
      <c r="E48" s="12">
        <f t="shared" ref="E48:AI48" si="10">IF(E23&lt;$C$6,D48,0)</f>
        <v>1500</v>
      </c>
      <c r="F48" s="12">
        <f t="shared" si="10"/>
        <v>1500</v>
      </c>
      <c r="G48" s="12">
        <f t="shared" si="10"/>
        <v>1500</v>
      </c>
      <c r="H48" s="12">
        <f t="shared" si="10"/>
        <v>1500</v>
      </c>
      <c r="I48" s="12">
        <f t="shared" si="10"/>
        <v>1500</v>
      </c>
      <c r="J48" s="12">
        <f t="shared" si="10"/>
        <v>1500</v>
      </c>
      <c r="K48" s="12">
        <f t="shared" si="10"/>
        <v>1500</v>
      </c>
      <c r="L48" s="12">
        <f t="shared" si="10"/>
        <v>1500</v>
      </c>
      <c r="M48" s="12">
        <f t="shared" si="10"/>
        <v>1500</v>
      </c>
      <c r="N48" s="12">
        <f t="shared" si="10"/>
        <v>1500</v>
      </c>
      <c r="O48" s="12">
        <f t="shared" si="10"/>
        <v>1500</v>
      </c>
      <c r="P48" s="12">
        <f t="shared" si="10"/>
        <v>1500</v>
      </c>
      <c r="Q48" s="12">
        <f t="shared" si="10"/>
        <v>1500</v>
      </c>
      <c r="R48" s="12">
        <f t="shared" si="10"/>
        <v>1500</v>
      </c>
      <c r="S48" s="12">
        <f t="shared" si="10"/>
        <v>1500</v>
      </c>
      <c r="T48" s="12">
        <f t="shared" si="10"/>
        <v>1500</v>
      </c>
      <c r="U48" s="12">
        <f t="shared" si="10"/>
        <v>1500</v>
      </c>
      <c r="V48" s="12">
        <f t="shared" si="10"/>
        <v>1500</v>
      </c>
      <c r="W48" s="12">
        <f t="shared" si="10"/>
        <v>1500</v>
      </c>
      <c r="X48" s="12">
        <f t="shared" si="10"/>
        <v>0</v>
      </c>
      <c r="Y48" s="12">
        <f t="shared" si="10"/>
        <v>0</v>
      </c>
      <c r="Z48" s="12">
        <f t="shared" si="10"/>
        <v>0</v>
      </c>
      <c r="AA48" s="12">
        <f t="shared" si="10"/>
        <v>0</v>
      </c>
      <c r="AB48" s="12">
        <f t="shared" si="10"/>
        <v>0</v>
      </c>
      <c r="AC48" s="12">
        <f t="shared" si="10"/>
        <v>0</v>
      </c>
      <c r="AD48" s="12">
        <f t="shared" si="10"/>
        <v>0</v>
      </c>
      <c r="AE48" s="12">
        <f t="shared" si="10"/>
        <v>0</v>
      </c>
      <c r="AF48" s="12">
        <f t="shared" si="10"/>
        <v>0</v>
      </c>
      <c r="AG48" s="12">
        <f t="shared" si="10"/>
        <v>0</v>
      </c>
      <c r="AH48" s="12">
        <f t="shared" si="10"/>
        <v>0</v>
      </c>
      <c r="AI48" s="12">
        <f t="shared" si="10"/>
        <v>0</v>
      </c>
    </row>
    <row r="49" spans="2:36" x14ac:dyDescent="0.25">
      <c r="C49" s="2"/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6" x14ac:dyDescent="0.25">
      <c r="B50" t="s">
        <v>16</v>
      </c>
      <c r="C50" s="2"/>
      <c r="D50" s="6">
        <f>D41-D42+D48</f>
        <v>81500</v>
      </c>
      <c r="E50" s="6">
        <f t="shared" ref="E50:AI50" si="11">E41-E42+E48</f>
        <v>1500</v>
      </c>
      <c r="F50" s="6">
        <f t="shared" si="11"/>
        <v>1500</v>
      </c>
      <c r="G50" s="6">
        <f t="shared" si="11"/>
        <v>1500</v>
      </c>
      <c r="H50" s="6">
        <f t="shared" si="11"/>
        <v>1500</v>
      </c>
      <c r="I50" s="6">
        <f t="shared" si="11"/>
        <v>1500</v>
      </c>
      <c r="J50" s="6">
        <f t="shared" si="11"/>
        <v>1500</v>
      </c>
      <c r="K50" s="6">
        <f t="shared" si="11"/>
        <v>1500</v>
      </c>
      <c r="L50" s="6">
        <f t="shared" si="11"/>
        <v>1500</v>
      </c>
      <c r="M50" s="6">
        <f t="shared" si="11"/>
        <v>1500</v>
      </c>
      <c r="N50" s="6">
        <f t="shared" si="11"/>
        <v>1500</v>
      </c>
      <c r="O50" s="6">
        <f t="shared" si="11"/>
        <v>1500</v>
      </c>
      <c r="P50" s="6">
        <f t="shared" si="11"/>
        <v>1500</v>
      </c>
      <c r="Q50" s="6">
        <f t="shared" si="11"/>
        <v>1500</v>
      </c>
      <c r="R50" s="6">
        <f t="shared" si="11"/>
        <v>1500</v>
      </c>
      <c r="S50" s="6">
        <f t="shared" si="11"/>
        <v>1500</v>
      </c>
      <c r="T50" s="6">
        <f t="shared" si="11"/>
        <v>1500</v>
      </c>
      <c r="U50" s="6">
        <f t="shared" si="11"/>
        <v>1500</v>
      </c>
      <c r="V50" s="6">
        <f t="shared" si="11"/>
        <v>1500</v>
      </c>
      <c r="W50" s="6">
        <f t="shared" si="11"/>
        <v>1500</v>
      </c>
      <c r="X50" s="6">
        <f t="shared" si="11"/>
        <v>0</v>
      </c>
      <c r="Y50" s="6">
        <f t="shared" si="11"/>
        <v>0</v>
      </c>
      <c r="Z50" s="6">
        <f t="shared" si="11"/>
        <v>0</v>
      </c>
      <c r="AA50" s="6">
        <f t="shared" si="11"/>
        <v>0</v>
      </c>
      <c r="AB50" s="6">
        <f t="shared" si="11"/>
        <v>0</v>
      </c>
      <c r="AC50" s="6">
        <f t="shared" si="11"/>
        <v>0</v>
      </c>
      <c r="AD50" s="6">
        <f t="shared" si="11"/>
        <v>0</v>
      </c>
      <c r="AE50" s="6">
        <f t="shared" si="11"/>
        <v>0</v>
      </c>
      <c r="AF50" s="6">
        <f t="shared" si="11"/>
        <v>0</v>
      </c>
      <c r="AG50" s="6">
        <f t="shared" si="11"/>
        <v>0</v>
      </c>
      <c r="AH50" s="6">
        <f t="shared" si="11"/>
        <v>0</v>
      </c>
      <c r="AI50" s="6">
        <f t="shared" si="11"/>
        <v>0</v>
      </c>
    </row>
    <row r="51" spans="2:36" x14ac:dyDescent="0.25">
      <c r="B51" t="s">
        <v>11</v>
      </c>
      <c r="D51" s="9">
        <f>C16</f>
        <v>0.03</v>
      </c>
      <c r="E51" s="1">
        <f>D51</f>
        <v>0.03</v>
      </c>
      <c r="F51" s="1">
        <f t="shared" ref="F51:AI51" si="12">E51</f>
        <v>0.03</v>
      </c>
      <c r="G51" s="1">
        <f t="shared" si="12"/>
        <v>0.03</v>
      </c>
      <c r="H51" s="1">
        <f t="shared" si="12"/>
        <v>0.03</v>
      </c>
      <c r="I51" s="1">
        <f t="shared" si="12"/>
        <v>0.03</v>
      </c>
      <c r="J51" s="1">
        <f t="shared" si="12"/>
        <v>0.03</v>
      </c>
      <c r="K51" s="1">
        <f t="shared" si="12"/>
        <v>0.03</v>
      </c>
      <c r="L51" s="1">
        <f t="shared" si="12"/>
        <v>0.03</v>
      </c>
      <c r="M51" s="1">
        <f t="shared" si="12"/>
        <v>0.03</v>
      </c>
      <c r="N51" s="1">
        <f t="shared" si="12"/>
        <v>0.03</v>
      </c>
      <c r="O51" s="1">
        <f t="shared" si="12"/>
        <v>0.03</v>
      </c>
      <c r="P51" s="1">
        <f t="shared" si="12"/>
        <v>0.03</v>
      </c>
      <c r="Q51" s="1">
        <f t="shared" si="12"/>
        <v>0.03</v>
      </c>
      <c r="R51" s="1">
        <f t="shared" si="12"/>
        <v>0.03</v>
      </c>
      <c r="S51" s="1">
        <f t="shared" si="12"/>
        <v>0.03</v>
      </c>
      <c r="T51" s="1">
        <f t="shared" si="12"/>
        <v>0.03</v>
      </c>
      <c r="U51" s="1">
        <f t="shared" si="12"/>
        <v>0.03</v>
      </c>
      <c r="V51" s="1">
        <f t="shared" si="12"/>
        <v>0.03</v>
      </c>
      <c r="W51" s="1">
        <f t="shared" si="12"/>
        <v>0.03</v>
      </c>
      <c r="X51" s="1">
        <f t="shared" si="12"/>
        <v>0.03</v>
      </c>
      <c r="Y51" s="1">
        <f t="shared" si="12"/>
        <v>0.03</v>
      </c>
      <c r="Z51" s="1">
        <f t="shared" si="12"/>
        <v>0.03</v>
      </c>
      <c r="AA51" s="1">
        <f t="shared" si="12"/>
        <v>0.03</v>
      </c>
      <c r="AB51" s="1">
        <f t="shared" si="12"/>
        <v>0.03</v>
      </c>
      <c r="AC51" s="1">
        <f t="shared" si="12"/>
        <v>0.03</v>
      </c>
      <c r="AD51" s="1">
        <f t="shared" si="12"/>
        <v>0.03</v>
      </c>
      <c r="AE51" s="1">
        <f t="shared" si="12"/>
        <v>0.03</v>
      </c>
      <c r="AF51" s="1">
        <f t="shared" si="12"/>
        <v>0.03</v>
      </c>
      <c r="AG51" s="1">
        <f t="shared" si="12"/>
        <v>0.03</v>
      </c>
      <c r="AH51" s="1">
        <f t="shared" si="12"/>
        <v>0.03</v>
      </c>
      <c r="AI51" s="1">
        <f t="shared" si="12"/>
        <v>0.03</v>
      </c>
    </row>
    <row r="52" spans="2:36" x14ac:dyDescent="0.25">
      <c r="B52" s="11"/>
      <c r="C52" s="1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2:36" x14ac:dyDescent="0.25">
      <c r="B53" s="11" t="s">
        <v>14</v>
      </c>
      <c r="C53" s="11"/>
      <c r="D53" s="9">
        <f>C15</f>
        <v>1.0999999999999999E-2</v>
      </c>
      <c r="E53" s="1">
        <f>D53</f>
        <v>1.0999999999999999E-2</v>
      </c>
      <c r="F53" s="1">
        <f t="shared" ref="F53:AI53" si="13">E53</f>
        <v>1.0999999999999999E-2</v>
      </c>
      <c r="G53" s="1">
        <f t="shared" si="13"/>
        <v>1.0999999999999999E-2</v>
      </c>
      <c r="H53" s="1">
        <f t="shared" si="13"/>
        <v>1.0999999999999999E-2</v>
      </c>
      <c r="I53" s="1">
        <f t="shared" si="13"/>
        <v>1.0999999999999999E-2</v>
      </c>
      <c r="J53" s="1">
        <f t="shared" si="13"/>
        <v>1.0999999999999999E-2</v>
      </c>
      <c r="K53" s="1">
        <f t="shared" si="13"/>
        <v>1.0999999999999999E-2</v>
      </c>
      <c r="L53" s="1">
        <f t="shared" si="13"/>
        <v>1.0999999999999999E-2</v>
      </c>
      <c r="M53" s="1">
        <f t="shared" si="13"/>
        <v>1.0999999999999999E-2</v>
      </c>
      <c r="N53" s="1">
        <f t="shared" si="13"/>
        <v>1.0999999999999999E-2</v>
      </c>
      <c r="O53" s="1">
        <f t="shared" si="13"/>
        <v>1.0999999999999999E-2</v>
      </c>
      <c r="P53" s="1">
        <f t="shared" si="13"/>
        <v>1.0999999999999999E-2</v>
      </c>
      <c r="Q53" s="1">
        <f t="shared" si="13"/>
        <v>1.0999999999999999E-2</v>
      </c>
      <c r="R53" s="1">
        <f t="shared" si="13"/>
        <v>1.0999999999999999E-2</v>
      </c>
      <c r="S53" s="1">
        <f t="shared" si="13"/>
        <v>1.0999999999999999E-2</v>
      </c>
      <c r="T53" s="1">
        <f t="shared" si="13"/>
        <v>1.0999999999999999E-2</v>
      </c>
      <c r="U53" s="1">
        <f t="shared" si="13"/>
        <v>1.0999999999999999E-2</v>
      </c>
      <c r="V53" s="1">
        <f t="shared" si="13"/>
        <v>1.0999999999999999E-2</v>
      </c>
      <c r="W53" s="1">
        <f t="shared" si="13"/>
        <v>1.0999999999999999E-2</v>
      </c>
      <c r="X53" s="1">
        <f t="shared" si="13"/>
        <v>1.0999999999999999E-2</v>
      </c>
      <c r="Y53" s="1">
        <f t="shared" si="13"/>
        <v>1.0999999999999999E-2</v>
      </c>
      <c r="Z53" s="1">
        <f t="shared" si="13"/>
        <v>1.0999999999999999E-2</v>
      </c>
      <c r="AA53" s="1">
        <f t="shared" si="13"/>
        <v>1.0999999999999999E-2</v>
      </c>
      <c r="AB53" s="1">
        <f t="shared" si="13"/>
        <v>1.0999999999999999E-2</v>
      </c>
      <c r="AC53" s="1">
        <f t="shared" si="13"/>
        <v>1.0999999999999999E-2</v>
      </c>
      <c r="AD53" s="1">
        <f t="shared" si="13"/>
        <v>1.0999999999999999E-2</v>
      </c>
      <c r="AE53" s="1">
        <f t="shared" si="13"/>
        <v>1.0999999999999999E-2</v>
      </c>
      <c r="AF53" s="1">
        <f t="shared" si="13"/>
        <v>1.0999999999999999E-2</v>
      </c>
      <c r="AG53" s="1">
        <f t="shared" si="13"/>
        <v>1.0999999999999999E-2</v>
      </c>
      <c r="AH53" s="1">
        <f t="shared" si="13"/>
        <v>1.0999999999999999E-2</v>
      </c>
      <c r="AI53" s="1">
        <f t="shared" si="13"/>
        <v>1.0999999999999999E-2</v>
      </c>
    </row>
    <row r="54" spans="2:36" x14ac:dyDescent="0.25">
      <c r="B54" s="11" t="s">
        <v>15</v>
      </c>
      <c r="D54" s="2">
        <f>IF((D53*D29)&lt;0,0,(D53*D29))</f>
        <v>976.81424703772814</v>
      </c>
      <c r="E54" s="2">
        <f t="shared" ref="E54:AI54" si="14">IF((E53*E29)&lt;0,0,(E53*E29))</f>
        <v>158.45938680074636</v>
      </c>
      <c r="F54" s="2">
        <f t="shared" si="14"/>
        <v>154.63613774480604</v>
      </c>
      <c r="G54" s="2">
        <f t="shared" si="14"/>
        <v>150.50702876439053</v>
      </c>
      <c r="H54" s="2">
        <f t="shared" si="14"/>
        <v>146.04759106554178</v>
      </c>
      <c r="I54" s="2">
        <f t="shared" si="14"/>
        <v>141.2313983507851</v>
      </c>
      <c r="J54" s="2">
        <f t="shared" si="14"/>
        <v>136.0299102188479</v>
      </c>
      <c r="K54" s="2">
        <f t="shared" si="14"/>
        <v>130.41230303635575</v>
      </c>
      <c r="L54" s="2">
        <f t="shared" si="14"/>
        <v>124.3452872792642</v>
      </c>
      <c r="M54" s="2">
        <f t="shared" si="14"/>
        <v>117.79291026160534</v>
      </c>
      <c r="N54" s="2">
        <f t="shared" si="14"/>
        <v>110.71634308253377</v>
      </c>
      <c r="O54" s="2">
        <f t="shared" si="14"/>
        <v>103.07365052913647</v>
      </c>
      <c r="P54" s="2">
        <f t="shared" si="14"/>
        <v>94.819542571467395</v>
      </c>
      <c r="Q54" s="2">
        <f t="shared" si="14"/>
        <v>85.905105977184789</v>
      </c>
      <c r="R54" s="2">
        <f t="shared" si="14"/>
        <v>76.277514455359565</v>
      </c>
      <c r="S54" s="2">
        <f t="shared" si="14"/>
        <v>65.879715611788342</v>
      </c>
      <c r="T54" s="2">
        <f t="shared" si="14"/>
        <v>54.650092860731405</v>
      </c>
      <c r="U54" s="2">
        <f t="shared" si="14"/>
        <v>42.522100289589915</v>
      </c>
      <c r="V54" s="2">
        <f t="shared" si="14"/>
        <v>29.423868312757108</v>
      </c>
      <c r="W54" s="2">
        <f t="shared" si="14"/>
        <v>15.277777777777679</v>
      </c>
      <c r="X54" s="2">
        <f t="shared" si="14"/>
        <v>0</v>
      </c>
      <c r="Y54" s="2">
        <f t="shared" si="14"/>
        <v>0</v>
      </c>
      <c r="Z54" s="2">
        <f t="shared" si="14"/>
        <v>0</v>
      </c>
      <c r="AA54" s="2">
        <f t="shared" si="14"/>
        <v>0</v>
      </c>
      <c r="AB54" s="2">
        <f t="shared" si="14"/>
        <v>0</v>
      </c>
      <c r="AC54" s="2">
        <f t="shared" si="14"/>
        <v>0</v>
      </c>
      <c r="AD54" s="2">
        <f t="shared" si="14"/>
        <v>0</v>
      </c>
      <c r="AE54" s="2">
        <f t="shared" si="14"/>
        <v>0</v>
      </c>
      <c r="AF54" s="2">
        <f t="shared" si="14"/>
        <v>0</v>
      </c>
      <c r="AG54" s="2">
        <f t="shared" si="14"/>
        <v>0</v>
      </c>
      <c r="AH54" s="2">
        <f t="shared" si="14"/>
        <v>0</v>
      </c>
      <c r="AI54" s="2">
        <f t="shared" si="14"/>
        <v>0</v>
      </c>
      <c r="AJ54" s="4" t="e">
        <f>AI54/AI56</f>
        <v>#DIV/0!</v>
      </c>
    </row>
    <row r="55" spans="2:36" x14ac:dyDescent="0.25">
      <c r="B55" s="11"/>
    </row>
    <row r="56" spans="2:36" x14ac:dyDescent="0.25">
      <c r="B56" t="s">
        <v>17</v>
      </c>
      <c r="D56" s="3">
        <f>IF(D23&lt;=$C$60,(D50+D54),0)</f>
        <v>0</v>
      </c>
      <c r="E56" s="3">
        <f t="shared" ref="E56:AI56" si="15">IF(E23&lt;=$C$60,(E50+E54),0)</f>
        <v>0</v>
      </c>
      <c r="F56" s="3">
        <f t="shared" si="15"/>
        <v>0</v>
      </c>
      <c r="G56" s="3">
        <f t="shared" si="15"/>
        <v>0</v>
      </c>
      <c r="H56" s="3">
        <f t="shared" si="15"/>
        <v>0</v>
      </c>
      <c r="I56" s="3">
        <f t="shared" si="15"/>
        <v>0</v>
      </c>
      <c r="J56" s="3">
        <f t="shared" si="15"/>
        <v>0</v>
      </c>
      <c r="K56" s="3">
        <f t="shared" si="15"/>
        <v>0</v>
      </c>
      <c r="L56" s="3">
        <f t="shared" si="15"/>
        <v>0</v>
      </c>
      <c r="M56" s="3">
        <f t="shared" si="15"/>
        <v>0</v>
      </c>
      <c r="N56" s="3">
        <f t="shared" si="15"/>
        <v>0</v>
      </c>
      <c r="O56" s="3">
        <f t="shared" si="15"/>
        <v>0</v>
      </c>
      <c r="P56" s="3">
        <f t="shared" si="15"/>
        <v>0</v>
      </c>
      <c r="Q56" s="3">
        <f t="shared" si="15"/>
        <v>0</v>
      </c>
      <c r="R56" s="3">
        <f t="shared" si="15"/>
        <v>0</v>
      </c>
      <c r="S56" s="3">
        <f t="shared" si="15"/>
        <v>0</v>
      </c>
      <c r="T56" s="3">
        <f t="shared" si="15"/>
        <v>0</v>
      </c>
      <c r="U56" s="3">
        <f t="shared" si="15"/>
        <v>0</v>
      </c>
      <c r="V56" s="3">
        <f t="shared" si="15"/>
        <v>0</v>
      </c>
      <c r="W56" s="3">
        <f t="shared" si="15"/>
        <v>0</v>
      </c>
      <c r="X56" s="3">
        <f t="shared" si="15"/>
        <v>0</v>
      </c>
      <c r="Y56" s="3">
        <f t="shared" si="15"/>
        <v>0</v>
      </c>
      <c r="Z56" s="3">
        <f t="shared" si="15"/>
        <v>0</v>
      </c>
      <c r="AA56" s="3">
        <f t="shared" si="15"/>
        <v>0</v>
      </c>
      <c r="AB56" s="3">
        <f t="shared" si="15"/>
        <v>0</v>
      </c>
      <c r="AC56" s="3">
        <f t="shared" si="15"/>
        <v>0</v>
      </c>
      <c r="AD56" s="3">
        <f t="shared" si="15"/>
        <v>0</v>
      </c>
      <c r="AE56" s="3">
        <f t="shared" si="15"/>
        <v>0</v>
      </c>
      <c r="AF56" s="3">
        <f t="shared" si="15"/>
        <v>0</v>
      </c>
      <c r="AG56" s="3">
        <f t="shared" si="15"/>
        <v>0</v>
      </c>
      <c r="AH56" s="3">
        <f t="shared" si="15"/>
        <v>0</v>
      </c>
      <c r="AI56" s="3">
        <f t="shared" si="15"/>
        <v>0</v>
      </c>
    </row>
    <row r="57" spans="2:36" x14ac:dyDescent="0.25">
      <c r="B57" s="11"/>
    </row>
    <row r="58" spans="2:36" x14ac:dyDescent="0.25">
      <c r="B58" t="s">
        <v>10</v>
      </c>
      <c r="D58" s="3">
        <f>D39-D50</f>
        <v>14405.398800067851</v>
      </c>
      <c r="E58" s="3">
        <f>E39-E50</f>
        <v>14057.830704073278</v>
      </c>
      <c r="F58" s="3">
        <f>F39-F50</f>
        <v>13682.457160399139</v>
      </c>
      <c r="G58" s="3">
        <f>G39-G50</f>
        <v>13277.053733231071</v>
      </c>
      <c r="H58" s="3">
        <f>H39-H50</f>
        <v>12839.218031889555</v>
      </c>
      <c r="I58" s="3">
        <f>I39-I50</f>
        <v>12366.355474440719</v>
      </c>
      <c r="J58" s="3">
        <f>J39-J50</f>
        <v>11855.663912395978</v>
      </c>
      <c r="K58" s="3">
        <f>K39-K50</f>
        <v>11304.117025387655</v>
      </c>
      <c r="L58" s="3">
        <f>L39-L50</f>
        <v>10708.446387418668</v>
      </c>
      <c r="M58" s="3">
        <f>M39-M50</f>
        <v>10065.122098412161</v>
      </c>
      <c r="N58" s="3">
        <f t="shared" ref="N58:AI58" si="16">N39-N50</f>
        <v>9370.3318662851343</v>
      </c>
      <c r="O58" s="3">
        <f t="shared" si="16"/>
        <v>8619.9584155879456</v>
      </c>
      <c r="P58" s="3">
        <f t="shared" si="16"/>
        <v>7809.5550888349808</v>
      </c>
      <c r="Q58" s="3">
        <f t="shared" si="16"/>
        <v>6934.3194959417797</v>
      </c>
      <c r="R58" s="3">
        <f t="shared" si="16"/>
        <v>5989.0650556171222</v>
      </c>
      <c r="S58" s="3">
        <f t="shared" si="16"/>
        <v>4968.1902600664916</v>
      </c>
      <c r="T58" s="3">
        <f t="shared" si="16"/>
        <v>3865.6454808718108</v>
      </c>
      <c r="U58" s="3">
        <f t="shared" si="16"/>
        <v>2674.8971193415555</v>
      </c>
      <c r="V58" s="3">
        <f t="shared" si="16"/>
        <v>1388.88888888888</v>
      </c>
      <c r="W58" s="3">
        <f t="shared" si="16"/>
        <v>-9.5496943686157465E-12</v>
      </c>
      <c r="X58" s="3">
        <f t="shared" si="16"/>
        <v>-9.5496943686157465E-12</v>
      </c>
      <c r="Y58" s="3">
        <f t="shared" si="16"/>
        <v>-9.5496943686157465E-12</v>
      </c>
      <c r="Z58" s="3">
        <f t="shared" si="16"/>
        <v>-9.5496943686157465E-12</v>
      </c>
      <c r="AA58" s="3">
        <f t="shared" si="16"/>
        <v>-9.5496943686157465E-12</v>
      </c>
      <c r="AB58" s="3">
        <f t="shared" si="16"/>
        <v>-9.5496943686157465E-12</v>
      </c>
      <c r="AC58" s="3">
        <f t="shared" si="16"/>
        <v>-9.5496943686157465E-12</v>
      </c>
      <c r="AD58" s="3">
        <f t="shared" si="16"/>
        <v>-9.5496943686157465E-12</v>
      </c>
      <c r="AE58" s="3">
        <f t="shared" si="16"/>
        <v>-9.5496943686157465E-12</v>
      </c>
      <c r="AF58" s="3">
        <f t="shared" si="16"/>
        <v>-9.5496943686157465E-12</v>
      </c>
      <c r="AG58" s="3">
        <f t="shared" si="16"/>
        <v>-9.5496943686157465E-12</v>
      </c>
      <c r="AH58" s="3">
        <f t="shared" si="16"/>
        <v>-9.5496943686157465E-12</v>
      </c>
      <c r="AI58" s="3">
        <f t="shared" si="16"/>
        <v>-9.5496943686157465E-12</v>
      </c>
    </row>
    <row r="60" spans="2:36" x14ac:dyDescent="0.25">
      <c r="B60" t="s">
        <v>37</v>
      </c>
      <c r="D60">
        <f>D23</f>
        <v>2026</v>
      </c>
    </row>
    <row r="61" spans="2:36" x14ac:dyDescent="0.25">
      <c r="B61" t="s">
        <v>38</v>
      </c>
      <c r="D61" s="8">
        <f>D29</f>
        <v>88801.295185248018</v>
      </c>
      <c r="E61" t="s">
        <v>39</v>
      </c>
    </row>
    <row r="62" spans="2:36" x14ac:dyDescent="0.25">
      <c r="B62" t="s">
        <v>40</v>
      </c>
    </row>
    <row r="63" spans="2:36" x14ac:dyDescent="0.25">
      <c r="B63" t="s">
        <v>23</v>
      </c>
      <c r="C63" s="11"/>
      <c r="D63" s="7" t="s">
        <v>33</v>
      </c>
      <c r="E63" t="s">
        <v>34</v>
      </c>
    </row>
    <row r="64" spans="2:36" x14ac:dyDescent="0.25">
      <c r="B64" t="s">
        <v>25</v>
      </c>
      <c r="C64" s="11"/>
      <c r="D64" s="11"/>
    </row>
    <row r="65" spans="2:4" x14ac:dyDescent="0.25">
      <c r="B65" t="s">
        <v>2</v>
      </c>
      <c r="C65" s="9"/>
      <c r="D65" s="5">
        <v>3.5000000000000003E-2</v>
      </c>
    </row>
    <row r="66" spans="2:4" x14ac:dyDescent="0.25">
      <c r="B66" t="s">
        <v>7</v>
      </c>
      <c r="C66" s="9"/>
      <c r="D66" s="5">
        <v>4.4999999999999998E-2</v>
      </c>
    </row>
    <row r="68" spans="2:4" x14ac:dyDescent="0.25">
      <c r="B68" s="7" t="s">
        <v>41</v>
      </c>
    </row>
    <row r="69" spans="2:4" s="11" customFormat="1" x14ac:dyDescent="0.25">
      <c r="B69" s="11" t="s">
        <v>35</v>
      </c>
      <c r="C69" s="11">
        <v>2026</v>
      </c>
    </row>
    <row r="70" spans="2:4" x14ac:dyDescent="0.25">
      <c r="B70" t="s">
        <v>12</v>
      </c>
      <c r="C70" s="7">
        <v>1</v>
      </c>
    </row>
    <row r="71" spans="2:4" x14ac:dyDescent="0.25">
      <c r="B71" t="s">
        <v>27</v>
      </c>
      <c r="C71" s="7">
        <v>5</v>
      </c>
    </row>
    <row r="72" spans="2:4" x14ac:dyDescent="0.25">
      <c r="B72" t="s">
        <v>13</v>
      </c>
      <c r="C72" s="11">
        <f>C69+C71</f>
        <v>2031</v>
      </c>
    </row>
    <row r="73" spans="2:4" x14ac:dyDescent="0.25">
      <c r="B73" t="s">
        <v>19</v>
      </c>
      <c r="C73" s="6">
        <v>65</v>
      </c>
    </row>
    <row r="74" spans="2:4" x14ac:dyDescent="0.25">
      <c r="B74" t="s">
        <v>20</v>
      </c>
      <c r="C74" s="6">
        <v>62</v>
      </c>
    </row>
    <row r="75" spans="2:4" x14ac:dyDescent="0.25">
      <c r="B75" t="s">
        <v>4</v>
      </c>
      <c r="C75" s="5">
        <v>0</v>
      </c>
    </row>
    <row r="76" spans="2:4" x14ac:dyDescent="0.25">
      <c r="B76" t="s">
        <v>18</v>
      </c>
      <c r="C76" s="5">
        <v>1.0999999999999999E-2</v>
      </c>
    </row>
    <row r="77" spans="2:4" x14ac:dyDescent="0.25">
      <c r="B77" t="s">
        <v>21</v>
      </c>
      <c r="C77" s="5">
        <v>0.03</v>
      </c>
    </row>
    <row r="78" spans="2:4" x14ac:dyDescent="0.25">
      <c r="C78" s="11"/>
    </row>
    <row r="79" spans="2:4" x14ac:dyDescent="0.25">
      <c r="B79" t="s">
        <v>23</v>
      </c>
      <c r="C79" s="7" t="str">
        <f>C18</f>
        <v>Balanced</v>
      </c>
      <c r="D79" t="s">
        <v>34</v>
      </c>
    </row>
    <row r="80" spans="2:4" x14ac:dyDescent="0.25">
      <c r="B80" t="s">
        <v>25</v>
      </c>
      <c r="C80" s="11"/>
    </row>
    <row r="81" spans="2:35" x14ac:dyDescent="0.25">
      <c r="B81" t="s">
        <v>2</v>
      </c>
      <c r="C81" s="5">
        <f>C20</f>
        <v>3.5000000000000003E-2</v>
      </c>
    </row>
    <row r="82" spans="2:35" x14ac:dyDescent="0.25">
      <c r="B82" t="s">
        <v>7</v>
      </c>
      <c r="C82" s="5">
        <f>C21</f>
        <v>4.4999999999999998E-2</v>
      </c>
    </row>
    <row r="84" spans="2:35" x14ac:dyDescent="0.25">
      <c r="B84" s="11" t="s">
        <v>28</v>
      </c>
      <c r="D84" s="11">
        <f>C69</f>
        <v>2026</v>
      </c>
      <c r="E84">
        <f>D84+1</f>
        <v>2027</v>
      </c>
      <c r="F84">
        <f t="shared" ref="F84:M87" si="17">E84+1</f>
        <v>2028</v>
      </c>
      <c r="G84">
        <f t="shared" si="17"/>
        <v>2029</v>
      </c>
      <c r="H84">
        <f t="shared" si="17"/>
        <v>2030</v>
      </c>
      <c r="I84">
        <f t="shared" si="17"/>
        <v>2031</v>
      </c>
      <c r="J84">
        <f t="shared" si="17"/>
        <v>2032</v>
      </c>
      <c r="K84">
        <f t="shared" si="17"/>
        <v>2033</v>
      </c>
      <c r="L84">
        <f t="shared" si="17"/>
        <v>2034</v>
      </c>
      <c r="M84">
        <f t="shared" si="17"/>
        <v>2035</v>
      </c>
    </row>
    <row r="85" spans="2:35" x14ac:dyDescent="0.25">
      <c r="B85" t="s">
        <v>3</v>
      </c>
      <c r="D85">
        <v>0</v>
      </c>
      <c r="E85">
        <f>D85+1</f>
        <v>1</v>
      </c>
      <c r="F85">
        <f t="shared" si="17"/>
        <v>2</v>
      </c>
      <c r="G85">
        <f t="shared" si="17"/>
        <v>3</v>
      </c>
      <c r="H85">
        <f t="shared" si="17"/>
        <v>4</v>
      </c>
      <c r="I85">
        <f t="shared" si="17"/>
        <v>5</v>
      </c>
      <c r="J85">
        <f t="shared" si="17"/>
        <v>6</v>
      </c>
      <c r="K85">
        <f t="shared" si="17"/>
        <v>7</v>
      </c>
      <c r="L85">
        <f t="shared" si="17"/>
        <v>8</v>
      </c>
      <c r="M85" s="7">
        <f t="shared" si="17"/>
        <v>9</v>
      </c>
    </row>
    <row r="86" spans="2:35" x14ac:dyDescent="0.25">
      <c r="B86" t="s">
        <v>19</v>
      </c>
      <c r="D86" s="3">
        <f>C73</f>
        <v>65</v>
      </c>
      <c r="E86" s="3">
        <f>D86+1</f>
        <v>66</v>
      </c>
      <c r="F86" s="3">
        <f t="shared" si="17"/>
        <v>67</v>
      </c>
      <c r="G86" s="3">
        <f t="shared" si="17"/>
        <v>68</v>
      </c>
      <c r="H86" s="3">
        <f t="shared" si="17"/>
        <v>69</v>
      </c>
      <c r="I86" s="3">
        <f t="shared" si="17"/>
        <v>70</v>
      </c>
      <c r="J86" s="3">
        <f t="shared" si="17"/>
        <v>71</v>
      </c>
      <c r="K86" s="3">
        <f t="shared" si="17"/>
        <v>72</v>
      </c>
      <c r="L86" s="3">
        <f t="shared" si="17"/>
        <v>73</v>
      </c>
      <c r="M86" s="3">
        <f t="shared" si="17"/>
        <v>74</v>
      </c>
    </row>
    <row r="87" spans="2:35" x14ac:dyDescent="0.25">
      <c r="B87" t="s">
        <v>20</v>
      </c>
      <c r="D87" s="3">
        <f>C74</f>
        <v>62</v>
      </c>
      <c r="E87" s="3">
        <f>D87+1</f>
        <v>63</v>
      </c>
      <c r="F87" s="3">
        <f t="shared" si="17"/>
        <v>64</v>
      </c>
      <c r="G87" s="3">
        <f t="shared" si="17"/>
        <v>65</v>
      </c>
      <c r="H87" s="3">
        <f t="shared" si="17"/>
        <v>66</v>
      </c>
      <c r="I87" s="3">
        <f t="shared" si="17"/>
        <v>67</v>
      </c>
      <c r="J87" s="3">
        <f t="shared" si="17"/>
        <v>68</v>
      </c>
      <c r="K87" s="3">
        <f t="shared" si="17"/>
        <v>69</v>
      </c>
      <c r="L87" s="3">
        <f t="shared" si="17"/>
        <v>70</v>
      </c>
      <c r="M87" s="3">
        <f t="shared" si="17"/>
        <v>71</v>
      </c>
    </row>
    <row r="88" spans="2:35" x14ac:dyDescent="0.25">
      <c r="M88" s="7"/>
    </row>
    <row r="90" spans="2:35" x14ac:dyDescent="0.25">
      <c r="B90" t="s">
        <v>0</v>
      </c>
      <c r="D90" s="13">
        <v>475000</v>
      </c>
      <c r="E90" s="8">
        <f>D100-D108</f>
        <v>507775</v>
      </c>
      <c r="F90" s="8">
        <f t="shared" ref="F90:M90" si="18">E100-E108</f>
        <v>542811.47499999998</v>
      </c>
      <c r="G90" s="8">
        <f t="shared" si="18"/>
        <v>580265.4667750001</v>
      </c>
      <c r="H90" s="8">
        <f t="shared" si="18"/>
        <v>620303.78398247506</v>
      </c>
      <c r="I90" s="8">
        <f t="shared" si="18"/>
        <v>663104.74507726589</v>
      </c>
      <c r="J90" s="8">
        <f t="shared" si="18"/>
        <v>708858.97248759726</v>
      </c>
      <c r="K90" s="8">
        <f t="shared" si="18"/>
        <v>757770.24158924143</v>
      </c>
      <c r="L90" s="8">
        <f t="shared" si="18"/>
        <v>810056.3882588991</v>
      </c>
      <c r="M90" s="8">
        <f t="shared" si="18"/>
        <v>865950.2790487631</v>
      </c>
    </row>
    <row r="91" spans="2:35" x14ac:dyDescent="0.25">
      <c r="B91" t="s">
        <v>2</v>
      </c>
      <c r="D91" s="9">
        <f>C81</f>
        <v>3.5000000000000003E-2</v>
      </c>
      <c r="E91" s="1">
        <f>D91</f>
        <v>3.5000000000000003E-2</v>
      </c>
      <c r="F91" s="1">
        <f t="shared" ref="F91:M91" si="19">E91</f>
        <v>3.5000000000000003E-2</v>
      </c>
      <c r="G91" s="1">
        <f t="shared" si="19"/>
        <v>3.5000000000000003E-2</v>
      </c>
      <c r="H91" s="1">
        <f t="shared" si="19"/>
        <v>3.5000000000000003E-2</v>
      </c>
      <c r="I91" s="1">
        <f t="shared" si="19"/>
        <v>3.5000000000000003E-2</v>
      </c>
      <c r="J91" s="1">
        <f t="shared" si="19"/>
        <v>3.5000000000000003E-2</v>
      </c>
      <c r="K91" s="1">
        <f t="shared" si="19"/>
        <v>3.5000000000000003E-2</v>
      </c>
      <c r="L91" s="1">
        <f t="shared" si="19"/>
        <v>3.5000000000000003E-2</v>
      </c>
      <c r="M91" s="1">
        <f t="shared" si="19"/>
        <v>3.5000000000000003E-2</v>
      </c>
    </row>
    <row r="92" spans="2:35" x14ac:dyDescent="0.25">
      <c r="B92" t="s">
        <v>1</v>
      </c>
      <c r="D92" s="10">
        <f>D90*D91</f>
        <v>16625</v>
      </c>
      <c r="E92" s="3">
        <f t="shared" ref="E92:M92" si="20">E90*E91</f>
        <v>17772.125</v>
      </c>
      <c r="F92" s="3">
        <f t="shared" si="20"/>
        <v>18998.401625000002</v>
      </c>
      <c r="G92" s="3">
        <f t="shared" si="20"/>
        <v>20309.291337125007</v>
      </c>
      <c r="H92" s="3">
        <f t="shared" si="20"/>
        <v>21710.632439386631</v>
      </c>
      <c r="I92" s="3">
        <f t="shared" si="20"/>
        <v>23208.666077704307</v>
      </c>
      <c r="J92" s="3">
        <f t="shared" si="20"/>
        <v>24810.064037065906</v>
      </c>
      <c r="K92" s="3">
        <f t="shared" si="20"/>
        <v>26521.958455623451</v>
      </c>
      <c r="L92" s="3">
        <f t="shared" si="20"/>
        <v>28351.973589061472</v>
      </c>
      <c r="M92" s="3">
        <f t="shared" si="20"/>
        <v>30308.259766706713</v>
      </c>
    </row>
    <row r="93" spans="2:35" x14ac:dyDescent="0.25">
      <c r="B93" t="s">
        <v>4</v>
      </c>
      <c r="D93" s="9">
        <f>C75</f>
        <v>0</v>
      </c>
      <c r="E93" s="4">
        <f>D93</f>
        <v>0</v>
      </c>
      <c r="F93" s="4">
        <f t="shared" ref="F93:M93" si="21">E93</f>
        <v>0</v>
      </c>
      <c r="G93" s="4">
        <f t="shared" si="21"/>
        <v>0</v>
      </c>
      <c r="H93" s="4">
        <f t="shared" si="21"/>
        <v>0</v>
      </c>
      <c r="I93" s="4">
        <f t="shared" si="21"/>
        <v>0</v>
      </c>
      <c r="J93" s="4">
        <f t="shared" si="21"/>
        <v>0</v>
      </c>
      <c r="K93" s="4">
        <f t="shared" si="21"/>
        <v>0</v>
      </c>
      <c r="L93" s="4">
        <f t="shared" si="21"/>
        <v>0</v>
      </c>
      <c r="M93" s="4">
        <f t="shared" si="21"/>
        <v>0</v>
      </c>
    </row>
    <row r="94" spans="2:35" x14ac:dyDescent="0.25">
      <c r="B94" t="s">
        <v>5</v>
      </c>
      <c r="D94" s="10">
        <f>IF((D92*D93)&lt;0,0,(D92*D93))</f>
        <v>0</v>
      </c>
      <c r="E94" s="10">
        <f t="shared" ref="E94:M94" si="22">IF((E92*E93)&lt;0,0,(E92*E93))</f>
        <v>0</v>
      </c>
      <c r="F94" s="10">
        <f t="shared" si="22"/>
        <v>0</v>
      </c>
      <c r="G94" s="10">
        <f t="shared" si="22"/>
        <v>0</v>
      </c>
      <c r="H94" s="10">
        <f t="shared" si="22"/>
        <v>0</v>
      </c>
      <c r="I94" s="10">
        <f t="shared" si="22"/>
        <v>0</v>
      </c>
      <c r="J94" s="10">
        <f t="shared" si="22"/>
        <v>0</v>
      </c>
      <c r="K94" s="10">
        <f t="shared" si="22"/>
        <v>0</v>
      </c>
      <c r="L94" s="10">
        <f t="shared" si="22"/>
        <v>0</v>
      </c>
      <c r="M94" s="10">
        <f t="shared" si="22"/>
        <v>0</v>
      </c>
      <c r="AI94" s="3">
        <f>SUM(D94:N94)</f>
        <v>0</v>
      </c>
    </row>
    <row r="95" spans="2:35" x14ac:dyDescent="0.25">
      <c r="B95" t="s">
        <v>6</v>
      </c>
      <c r="D95" s="10">
        <f>IF((D92-D94)&lt;0,0,(D92-D94))</f>
        <v>16625</v>
      </c>
      <c r="E95" s="10">
        <f t="shared" ref="E95:M95" si="23">IF((E92-E94)&lt;0,0,(E92-E94))</f>
        <v>17772.125</v>
      </c>
      <c r="F95" s="10">
        <f t="shared" si="23"/>
        <v>18998.401625000002</v>
      </c>
      <c r="G95" s="10">
        <f t="shared" si="23"/>
        <v>20309.291337125007</v>
      </c>
      <c r="H95" s="10">
        <f t="shared" si="23"/>
        <v>21710.632439386631</v>
      </c>
      <c r="I95" s="10">
        <f t="shared" si="23"/>
        <v>23208.666077704307</v>
      </c>
      <c r="J95" s="10">
        <f t="shared" si="23"/>
        <v>24810.064037065906</v>
      </c>
      <c r="K95" s="10">
        <f t="shared" si="23"/>
        <v>26521.958455623451</v>
      </c>
      <c r="L95" s="10">
        <f t="shared" si="23"/>
        <v>28351.973589061472</v>
      </c>
      <c r="M95" s="10">
        <f t="shared" si="23"/>
        <v>30308.259766706713</v>
      </c>
      <c r="AI95" s="3">
        <f>SUM(D95:N95)</f>
        <v>228616.37232767345</v>
      </c>
    </row>
    <row r="96" spans="2:35" x14ac:dyDescent="0.25">
      <c r="D96" s="11"/>
      <c r="AI96" s="3"/>
    </row>
    <row r="97" spans="2:36" x14ac:dyDescent="0.25">
      <c r="B97" t="s">
        <v>7</v>
      </c>
      <c r="D97" s="9">
        <f>C82</f>
        <v>4.4999999999999998E-2</v>
      </c>
      <c r="E97" s="1">
        <f>D97</f>
        <v>4.4999999999999998E-2</v>
      </c>
      <c r="F97" s="1">
        <f t="shared" ref="F97:M97" si="24">E97</f>
        <v>4.4999999999999998E-2</v>
      </c>
      <c r="G97" s="1">
        <f t="shared" si="24"/>
        <v>4.4999999999999998E-2</v>
      </c>
      <c r="H97" s="1">
        <f t="shared" si="24"/>
        <v>4.4999999999999998E-2</v>
      </c>
      <c r="I97" s="1">
        <f t="shared" si="24"/>
        <v>4.4999999999999998E-2</v>
      </c>
      <c r="J97" s="1">
        <f t="shared" si="24"/>
        <v>4.4999999999999998E-2</v>
      </c>
      <c r="K97" s="1">
        <f t="shared" si="24"/>
        <v>4.4999999999999998E-2</v>
      </c>
      <c r="L97" s="1">
        <f t="shared" si="24"/>
        <v>4.4999999999999998E-2</v>
      </c>
      <c r="M97" s="1">
        <f t="shared" si="24"/>
        <v>4.4999999999999998E-2</v>
      </c>
    </row>
    <row r="98" spans="2:36" x14ac:dyDescent="0.25">
      <c r="B98" t="s">
        <v>8</v>
      </c>
      <c r="D98" s="10">
        <f>IF((D97*D90)&lt;0,0,(D97*D90))</f>
        <v>21375</v>
      </c>
      <c r="E98" s="10">
        <f t="shared" ref="E98:M98" si="25">IF((E97*E90)&lt;0,0,(E97*E90))</f>
        <v>22849.875</v>
      </c>
      <c r="F98" s="10">
        <f t="shared" si="25"/>
        <v>24426.516374999999</v>
      </c>
      <c r="G98" s="10">
        <f t="shared" si="25"/>
        <v>26111.946004875004</v>
      </c>
      <c r="H98" s="10">
        <f t="shared" si="25"/>
        <v>27913.670279211376</v>
      </c>
      <c r="I98" s="10">
        <f t="shared" si="25"/>
        <v>29839.713528476965</v>
      </c>
      <c r="J98" s="10">
        <f t="shared" si="25"/>
        <v>31898.653761941874</v>
      </c>
      <c r="K98" s="10">
        <f t="shared" si="25"/>
        <v>34099.660871515865</v>
      </c>
      <c r="L98" s="10">
        <f t="shared" si="25"/>
        <v>36452.537471650459</v>
      </c>
      <c r="M98" s="10">
        <f t="shared" si="25"/>
        <v>38967.762557194335</v>
      </c>
      <c r="AI98" s="3">
        <f>SUM(D98:M98)</f>
        <v>293935.33584986592</v>
      </c>
    </row>
    <row r="99" spans="2:36" x14ac:dyDescent="0.25">
      <c r="D99" s="11"/>
    </row>
    <row r="100" spans="2:36" x14ac:dyDescent="0.25">
      <c r="B100" t="s">
        <v>9</v>
      </c>
      <c r="D100" s="10">
        <f>D90+D95+D98</f>
        <v>513000</v>
      </c>
      <c r="E100" s="3">
        <f t="shared" ref="E100:M100" si="26">E90+E95+E98</f>
        <v>548397</v>
      </c>
      <c r="F100" s="3">
        <f t="shared" si="26"/>
        <v>586236.39300000004</v>
      </c>
      <c r="G100" s="3">
        <f t="shared" si="26"/>
        <v>626686.7041170001</v>
      </c>
      <c r="H100" s="3">
        <f t="shared" si="26"/>
        <v>669928.0867010731</v>
      </c>
      <c r="I100" s="3">
        <f t="shared" si="26"/>
        <v>716153.12468344718</v>
      </c>
      <c r="J100" s="3">
        <f t="shared" si="26"/>
        <v>765567.69028660504</v>
      </c>
      <c r="K100" s="3">
        <f t="shared" si="26"/>
        <v>818391.86091638077</v>
      </c>
      <c r="L100" s="3">
        <f t="shared" si="26"/>
        <v>874860.89931961102</v>
      </c>
      <c r="M100" s="3">
        <f t="shared" si="26"/>
        <v>935226.30137266417</v>
      </c>
    </row>
    <row r="101" spans="2:36" x14ac:dyDescent="0.25">
      <c r="D101" s="11"/>
    </row>
    <row r="102" spans="2:36" x14ac:dyDescent="0.25">
      <c r="B102" t="s">
        <v>16</v>
      </c>
      <c r="D102" s="6">
        <v>0</v>
      </c>
      <c r="E102" s="2">
        <f>D102*(1+D103)</f>
        <v>0</v>
      </c>
      <c r="F102" s="2">
        <f t="shared" ref="F102:M102" si="27">E102*(1+E103)</f>
        <v>0</v>
      </c>
      <c r="G102" s="2">
        <f t="shared" si="27"/>
        <v>0</v>
      </c>
      <c r="H102" s="2">
        <f t="shared" si="27"/>
        <v>0</v>
      </c>
      <c r="I102" s="2">
        <f t="shared" si="27"/>
        <v>0</v>
      </c>
      <c r="J102" s="2">
        <f t="shared" si="27"/>
        <v>0</v>
      </c>
      <c r="K102" s="2">
        <f t="shared" si="27"/>
        <v>0</v>
      </c>
      <c r="L102" s="2">
        <f t="shared" si="27"/>
        <v>0</v>
      </c>
      <c r="M102" s="2">
        <f t="shared" si="27"/>
        <v>0</v>
      </c>
    </row>
    <row r="103" spans="2:36" x14ac:dyDescent="0.25">
      <c r="B103" t="s">
        <v>11</v>
      </c>
      <c r="D103" s="9">
        <f>C77</f>
        <v>0.03</v>
      </c>
      <c r="E103" s="1">
        <f>D103</f>
        <v>0.03</v>
      </c>
      <c r="F103" s="1">
        <f t="shared" ref="F103:M103" si="28">E103</f>
        <v>0.03</v>
      </c>
      <c r="G103" s="1">
        <f t="shared" si="28"/>
        <v>0.03</v>
      </c>
      <c r="H103" s="1">
        <f t="shared" si="28"/>
        <v>0.03</v>
      </c>
      <c r="I103" s="1">
        <f t="shared" si="28"/>
        <v>0.03</v>
      </c>
      <c r="J103" s="1">
        <f t="shared" si="28"/>
        <v>0.03</v>
      </c>
      <c r="K103" s="1">
        <f t="shared" si="28"/>
        <v>0.03</v>
      </c>
      <c r="L103" s="1">
        <f t="shared" si="28"/>
        <v>0.03</v>
      </c>
      <c r="M103" s="1">
        <f t="shared" si="28"/>
        <v>0.03</v>
      </c>
    </row>
    <row r="104" spans="2:36" x14ac:dyDescent="0.25">
      <c r="B104" s="11"/>
      <c r="C104" s="11"/>
      <c r="D104" s="9"/>
      <c r="E104" s="1"/>
      <c r="F104" s="1"/>
      <c r="G104" s="1"/>
      <c r="H104" s="1"/>
      <c r="I104" s="1"/>
      <c r="J104" s="1"/>
      <c r="K104" s="1"/>
      <c r="L104" s="1"/>
      <c r="M104" s="1"/>
    </row>
    <row r="105" spans="2:36" x14ac:dyDescent="0.25">
      <c r="B105" s="11" t="s">
        <v>14</v>
      </c>
      <c r="C105" s="11"/>
      <c r="D105" s="9">
        <f>C76</f>
        <v>1.0999999999999999E-2</v>
      </c>
      <c r="E105" s="1">
        <f>D105</f>
        <v>1.0999999999999999E-2</v>
      </c>
      <c r="F105" s="1">
        <f t="shared" ref="F105:M105" si="29">E105</f>
        <v>1.0999999999999999E-2</v>
      </c>
      <c r="G105" s="1">
        <f t="shared" si="29"/>
        <v>1.0999999999999999E-2</v>
      </c>
      <c r="H105" s="1">
        <f t="shared" si="29"/>
        <v>1.0999999999999999E-2</v>
      </c>
      <c r="I105" s="1">
        <f t="shared" si="29"/>
        <v>1.0999999999999999E-2</v>
      </c>
      <c r="J105" s="1">
        <f t="shared" si="29"/>
        <v>1.0999999999999999E-2</v>
      </c>
      <c r="K105" s="1">
        <f t="shared" si="29"/>
        <v>1.0999999999999999E-2</v>
      </c>
      <c r="L105" s="1">
        <f t="shared" si="29"/>
        <v>1.0999999999999999E-2</v>
      </c>
      <c r="M105" s="1">
        <f t="shared" si="29"/>
        <v>1.0999999999999999E-2</v>
      </c>
    </row>
    <row r="106" spans="2:36" x14ac:dyDescent="0.25">
      <c r="B106" s="11" t="s">
        <v>15</v>
      </c>
      <c r="D106" s="2">
        <f>IF((D105*D90)&lt;0,0,(D105*D90))</f>
        <v>5225</v>
      </c>
      <c r="E106" s="2">
        <f t="shared" ref="E106:M106" si="30">IF((E105*E90)&lt;0,0,(E105*E90))</f>
        <v>5585.5249999999996</v>
      </c>
      <c r="F106" s="2">
        <f t="shared" si="30"/>
        <v>5970.9262249999992</v>
      </c>
      <c r="G106" s="2">
        <f t="shared" si="30"/>
        <v>6382.9201345250003</v>
      </c>
      <c r="H106" s="2">
        <f t="shared" si="30"/>
        <v>6823.341623807225</v>
      </c>
      <c r="I106" s="2">
        <f t="shared" si="30"/>
        <v>7294.1521958499243</v>
      </c>
      <c r="J106" s="2">
        <f t="shared" si="30"/>
        <v>7797.4486973635694</v>
      </c>
      <c r="K106" s="2">
        <f t="shared" si="30"/>
        <v>8335.4726574816559</v>
      </c>
      <c r="L106" s="2">
        <f t="shared" si="30"/>
        <v>8910.6202708478904</v>
      </c>
      <c r="M106" s="2">
        <f t="shared" si="30"/>
        <v>9525.4530695363937</v>
      </c>
      <c r="AI106" s="3">
        <f>SUM(D106:N106)</f>
        <v>71850.859874411661</v>
      </c>
      <c r="AJ106" s="4">
        <f>AI106/AI108</f>
        <v>1</v>
      </c>
    </row>
    <row r="107" spans="2:36" x14ac:dyDescent="0.25">
      <c r="B107" s="11"/>
    </row>
    <row r="108" spans="2:36" x14ac:dyDescent="0.25">
      <c r="B108" t="s">
        <v>17</v>
      </c>
      <c r="D108" s="3">
        <f>IF(D85&lt;=$C$5,(D102+D106),0)</f>
        <v>5225</v>
      </c>
      <c r="E108" s="3">
        <f t="shared" ref="E108:M108" si="31">IF(E85&lt;=$C$5,(E102+E106),0)</f>
        <v>5585.5249999999996</v>
      </c>
      <c r="F108" s="3">
        <f t="shared" si="31"/>
        <v>5970.9262249999992</v>
      </c>
      <c r="G108" s="3">
        <f t="shared" si="31"/>
        <v>6382.9201345250003</v>
      </c>
      <c r="H108" s="3">
        <f t="shared" si="31"/>
        <v>6823.341623807225</v>
      </c>
      <c r="I108" s="3">
        <f t="shared" si="31"/>
        <v>7294.1521958499243</v>
      </c>
      <c r="J108" s="3">
        <f t="shared" si="31"/>
        <v>7797.4486973635694</v>
      </c>
      <c r="K108" s="3">
        <f t="shared" si="31"/>
        <v>8335.4726574816559</v>
      </c>
      <c r="L108" s="3">
        <f t="shared" si="31"/>
        <v>8910.6202708478904</v>
      </c>
      <c r="M108" s="3">
        <f t="shared" si="31"/>
        <v>9525.4530695363937</v>
      </c>
      <c r="AI108" s="3">
        <f>SUM(D108:N108)</f>
        <v>71850.859874411661</v>
      </c>
    </row>
    <row r="109" spans="2:36" x14ac:dyDescent="0.25">
      <c r="B109" s="11"/>
    </row>
    <row r="110" spans="2:36" x14ac:dyDescent="0.25">
      <c r="B110" t="s">
        <v>10</v>
      </c>
      <c r="D110" s="3">
        <f>D100-D102</f>
        <v>513000</v>
      </c>
      <c r="E110" s="3">
        <f>E100-E102</f>
        <v>548397</v>
      </c>
      <c r="F110" s="3">
        <f>F100-F102</f>
        <v>586236.39300000004</v>
      </c>
      <c r="G110" s="3">
        <f>G100-G102</f>
        <v>626686.7041170001</v>
      </c>
      <c r="H110" s="3">
        <f>H100-H102</f>
        <v>669928.0867010731</v>
      </c>
      <c r="I110" s="3">
        <f>I100-I102</f>
        <v>716153.12468344718</v>
      </c>
      <c r="J110" s="3">
        <f>J100-J102</f>
        <v>765567.69028660504</v>
      </c>
      <c r="K110" s="3">
        <f>K100-K102</f>
        <v>818391.86091638077</v>
      </c>
      <c r="L110" s="3">
        <f>L100-L102</f>
        <v>874860.89931961102</v>
      </c>
      <c r="M110" s="3">
        <f>M100-M102</f>
        <v>935226.30137266417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9518-3A7E-40ED-82AC-F3928ED752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A701-4097-4AFF-8A03-7973F98C6151}">
  <dimension ref="B1:AJ116"/>
  <sheetViews>
    <sheetView topLeftCell="A28" workbookViewId="0">
      <pane xSplit="4" topLeftCell="Z1" activePane="topRight" state="frozen"/>
      <selection activeCell="A7" sqref="A7"/>
      <selection pane="topRight" activeCell="AE47" sqref="AE47"/>
    </sheetView>
  </sheetViews>
  <sheetFormatPr defaultRowHeight="15" x14ac:dyDescent="0.25"/>
  <cols>
    <col min="2" max="2" width="35.42578125" bestFit="1" customWidth="1"/>
    <col min="3" max="3" width="9.5703125" bestFit="1" customWidth="1"/>
    <col min="4" max="4" width="17" customWidth="1"/>
    <col min="5" max="5" width="10.28515625" customWidth="1"/>
    <col min="6" max="12" width="9.5703125" bestFit="1" customWidth="1"/>
    <col min="13" max="13" width="10.5703125" bestFit="1" customWidth="1"/>
    <col min="35" max="36" width="5.85546875" bestFit="1" customWidth="1"/>
  </cols>
  <sheetData>
    <row r="1" spans="2:3" x14ac:dyDescent="0.25">
      <c r="B1" s="7" t="s">
        <v>51</v>
      </c>
    </row>
    <row r="2" spans="2:3" s="11" customFormat="1" x14ac:dyDescent="0.25">
      <c r="B2" s="11" t="s">
        <v>35</v>
      </c>
      <c r="C2" s="11">
        <f>'Income - Stage 1'!C3</f>
        <v>2026</v>
      </c>
    </row>
    <row r="3" spans="2:3" x14ac:dyDescent="0.25">
      <c r="B3" t="s">
        <v>12</v>
      </c>
      <c r="C3" s="7">
        <f>'Income - Stage 1'!C4</f>
        <v>1</v>
      </c>
    </row>
    <row r="4" spans="2:3" x14ac:dyDescent="0.25">
      <c r="B4" t="s">
        <v>27</v>
      </c>
      <c r="C4" s="7">
        <v>23</v>
      </c>
    </row>
    <row r="5" spans="2:3" x14ac:dyDescent="0.25">
      <c r="B5" t="s">
        <v>13</v>
      </c>
      <c r="C5" s="11">
        <f>C2+C4</f>
        <v>2049</v>
      </c>
    </row>
    <row r="6" spans="2:3" x14ac:dyDescent="0.25">
      <c r="B6" t="s">
        <v>36</v>
      </c>
      <c r="C6" s="11">
        <f>C5+1</f>
        <v>2050</v>
      </c>
    </row>
    <row r="7" spans="2:3" x14ac:dyDescent="0.25">
      <c r="C7" s="11"/>
    </row>
    <row r="8" spans="2:3" x14ac:dyDescent="0.25">
      <c r="B8" t="s">
        <v>29</v>
      </c>
      <c r="C8" s="6">
        <f>'Income - Stage 1'!C7</f>
        <v>65</v>
      </c>
    </row>
    <row r="9" spans="2:3" x14ac:dyDescent="0.25">
      <c r="B9" t="s">
        <v>31</v>
      </c>
      <c r="C9" s="12">
        <f>C8+C4</f>
        <v>88</v>
      </c>
    </row>
    <row r="10" spans="2:3" x14ac:dyDescent="0.25">
      <c r="C10" s="12"/>
    </row>
    <row r="11" spans="2:3" x14ac:dyDescent="0.25">
      <c r="B11" t="s">
        <v>30</v>
      </c>
      <c r="C11" s="6">
        <f>'Income - Stage 1'!C8</f>
        <v>62</v>
      </c>
    </row>
    <row r="12" spans="2:3" x14ac:dyDescent="0.25">
      <c r="B12" t="s">
        <v>32</v>
      </c>
      <c r="C12" s="12">
        <f>C11+C4</f>
        <v>85</v>
      </c>
    </row>
    <row r="13" spans="2:3" x14ac:dyDescent="0.25">
      <c r="C13" s="12"/>
    </row>
    <row r="14" spans="2:3" x14ac:dyDescent="0.25">
      <c r="B14" t="s">
        <v>4</v>
      </c>
      <c r="C14" s="5">
        <v>0.15</v>
      </c>
    </row>
    <row r="15" spans="2:3" x14ac:dyDescent="0.25">
      <c r="B15" t="s">
        <v>18</v>
      </c>
      <c r="C15" s="5">
        <v>1.0999999999999999E-2</v>
      </c>
    </row>
    <row r="16" spans="2:3" x14ac:dyDescent="0.25">
      <c r="B16" t="s">
        <v>21</v>
      </c>
      <c r="C16" s="5">
        <v>0.03</v>
      </c>
    </row>
    <row r="17" spans="2:35" x14ac:dyDescent="0.25">
      <c r="C17" s="11"/>
    </row>
    <row r="18" spans="2:35" x14ac:dyDescent="0.25">
      <c r="B18" t="s">
        <v>23</v>
      </c>
      <c r="C18" s="7" t="s">
        <v>33</v>
      </c>
      <c r="D18" t="s">
        <v>34</v>
      </c>
    </row>
    <row r="19" spans="2:35" x14ac:dyDescent="0.25">
      <c r="B19" t="s">
        <v>25</v>
      </c>
      <c r="C19" s="11"/>
    </row>
    <row r="20" spans="2:35" x14ac:dyDescent="0.25">
      <c r="B20" t="s">
        <v>2</v>
      </c>
      <c r="C20" s="5">
        <v>3.5000000000000003E-2</v>
      </c>
    </row>
    <row r="21" spans="2:35" x14ac:dyDescent="0.25">
      <c r="B21" t="s">
        <v>7</v>
      </c>
      <c r="C21" s="5">
        <v>4.4999999999999998E-2</v>
      </c>
    </row>
    <row r="23" spans="2:35" x14ac:dyDescent="0.25">
      <c r="B23" s="11" t="s">
        <v>28</v>
      </c>
      <c r="D23" s="11">
        <f>C2</f>
        <v>2026</v>
      </c>
      <c r="E23">
        <f>D23+1</f>
        <v>2027</v>
      </c>
      <c r="F23">
        <f t="shared" ref="F23:AI26" si="0">E23+1</f>
        <v>2028</v>
      </c>
      <c r="G23">
        <f t="shared" si="0"/>
        <v>2029</v>
      </c>
      <c r="H23">
        <f t="shared" si="0"/>
        <v>2030</v>
      </c>
      <c r="I23">
        <f t="shared" si="0"/>
        <v>2031</v>
      </c>
      <c r="J23">
        <f t="shared" si="0"/>
        <v>2032</v>
      </c>
      <c r="K23">
        <f t="shared" si="0"/>
        <v>2033</v>
      </c>
      <c r="L23">
        <f t="shared" si="0"/>
        <v>2034</v>
      </c>
      <c r="M23">
        <f t="shared" si="0"/>
        <v>2035</v>
      </c>
      <c r="N23">
        <f t="shared" si="0"/>
        <v>2036</v>
      </c>
      <c r="O23">
        <f t="shared" si="0"/>
        <v>2037</v>
      </c>
      <c r="P23">
        <f t="shared" si="0"/>
        <v>2038</v>
      </c>
      <c r="Q23">
        <f t="shared" si="0"/>
        <v>2039</v>
      </c>
      <c r="R23">
        <f t="shared" si="0"/>
        <v>2040</v>
      </c>
      <c r="S23">
        <f t="shared" si="0"/>
        <v>2041</v>
      </c>
      <c r="T23">
        <f t="shared" si="0"/>
        <v>2042</v>
      </c>
      <c r="U23">
        <f t="shared" si="0"/>
        <v>2043</v>
      </c>
      <c r="V23">
        <f t="shared" si="0"/>
        <v>2044</v>
      </c>
      <c r="W23">
        <f t="shared" si="0"/>
        <v>2045</v>
      </c>
      <c r="X23">
        <f t="shared" si="0"/>
        <v>2046</v>
      </c>
      <c r="Y23">
        <f t="shared" si="0"/>
        <v>2047</v>
      </c>
      <c r="Z23">
        <f t="shared" si="0"/>
        <v>2048</v>
      </c>
      <c r="AA23">
        <f t="shared" si="0"/>
        <v>2049</v>
      </c>
      <c r="AB23">
        <f t="shared" si="0"/>
        <v>2050</v>
      </c>
      <c r="AC23">
        <f t="shared" si="0"/>
        <v>2051</v>
      </c>
      <c r="AD23">
        <f t="shared" si="0"/>
        <v>2052</v>
      </c>
      <c r="AE23">
        <f t="shared" si="0"/>
        <v>2053</v>
      </c>
      <c r="AF23">
        <f t="shared" si="0"/>
        <v>2054</v>
      </c>
      <c r="AG23">
        <f t="shared" si="0"/>
        <v>2055</v>
      </c>
      <c r="AH23">
        <f t="shared" si="0"/>
        <v>2056</v>
      </c>
      <c r="AI23">
        <f t="shared" si="0"/>
        <v>2057</v>
      </c>
    </row>
    <row r="24" spans="2:35" x14ac:dyDescent="0.25">
      <c r="B24" t="s">
        <v>3</v>
      </c>
      <c r="D24">
        <f>C3</f>
        <v>1</v>
      </c>
      <c r="E24">
        <f>D24+1</f>
        <v>2</v>
      </c>
      <c r="F24">
        <f t="shared" si="0"/>
        <v>3</v>
      </c>
      <c r="G24">
        <f t="shared" si="0"/>
        <v>4</v>
      </c>
      <c r="H24">
        <f t="shared" si="0"/>
        <v>5</v>
      </c>
      <c r="I24">
        <f t="shared" si="0"/>
        <v>6</v>
      </c>
      <c r="J24">
        <f t="shared" si="0"/>
        <v>7</v>
      </c>
      <c r="K24">
        <f t="shared" si="0"/>
        <v>8</v>
      </c>
      <c r="L24" s="11">
        <f t="shared" si="0"/>
        <v>9</v>
      </c>
      <c r="M24" s="11">
        <f t="shared" si="0"/>
        <v>10</v>
      </c>
      <c r="N24" s="11">
        <f t="shared" si="0"/>
        <v>11</v>
      </c>
      <c r="O24" s="11">
        <f t="shared" si="0"/>
        <v>12</v>
      </c>
      <c r="P24" s="11">
        <f t="shared" si="0"/>
        <v>13</v>
      </c>
      <c r="Q24" s="11">
        <f t="shared" si="0"/>
        <v>14</v>
      </c>
      <c r="R24" s="11">
        <f t="shared" si="0"/>
        <v>15</v>
      </c>
      <c r="S24" s="11">
        <f t="shared" si="0"/>
        <v>16</v>
      </c>
      <c r="T24" s="11">
        <f t="shared" si="0"/>
        <v>17</v>
      </c>
      <c r="U24" s="11">
        <f t="shared" si="0"/>
        <v>18</v>
      </c>
      <c r="V24" s="11">
        <f t="shared" si="0"/>
        <v>19</v>
      </c>
      <c r="W24" s="11">
        <f t="shared" si="0"/>
        <v>20</v>
      </c>
      <c r="X24" s="11">
        <f t="shared" si="0"/>
        <v>21</v>
      </c>
      <c r="Y24" s="11">
        <f t="shared" si="0"/>
        <v>22</v>
      </c>
      <c r="Z24" s="11">
        <f t="shared" si="0"/>
        <v>23</v>
      </c>
      <c r="AA24" s="11">
        <f t="shared" si="0"/>
        <v>24</v>
      </c>
      <c r="AB24" s="11">
        <f t="shared" si="0"/>
        <v>25</v>
      </c>
      <c r="AC24" s="11">
        <f t="shared" si="0"/>
        <v>26</v>
      </c>
      <c r="AD24" s="11">
        <f t="shared" si="0"/>
        <v>27</v>
      </c>
      <c r="AE24" s="11">
        <f t="shared" si="0"/>
        <v>28</v>
      </c>
      <c r="AF24" s="11">
        <f t="shared" si="0"/>
        <v>29</v>
      </c>
      <c r="AG24" s="11">
        <f t="shared" si="0"/>
        <v>30</v>
      </c>
      <c r="AH24" s="11">
        <f t="shared" si="0"/>
        <v>31</v>
      </c>
      <c r="AI24" s="11">
        <f t="shared" si="0"/>
        <v>32</v>
      </c>
    </row>
    <row r="25" spans="2:35" x14ac:dyDescent="0.25">
      <c r="B25" t="s">
        <v>19</v>
      </c>
      <c r="D25" s="3">
        <f>C8</f>
        <v>65</v>
      </c>
      <c r="E25" s="3">
        <f>D25+1</f>
        <v>66</v>
      </c>
      <c r="F25" s="3">
        <f t="shared" si="0"/>
        <v>67</v>
      </c>
      <c r="G25" s="3">
        <f t="shared" si="0"/>
        <v>68</v>
      </c>
      <c r="H25" s="3">
        <f t="shared" si="0"/>
        <v>69</v>
      </c>
      <c r="I25" s="3">
        <f t="shared" si="0"/>
        <v>70</v>
      </c>
      <c r="J25" s="3">
        <f t="shared" si="0"/>
        <v>71</v>
      </c>
      <c r="K25" s="3">
        <f t="shared" si="0"/>
        <v>72</v>
      </c>
      <c r="L25" s="10">
        <f t="shared" si="0"/>
        <v>73</v>
      </c>
      <c r="M25" s="10">
        <f t="shared" si="0"/>
        <v>74</v>
      </c>
      <c r="N25" s="10">
        <f t="shared" si="0"/>
        <v>75</v>
      </c>
      <c r="O25" s="10">
        <f t="shared" si="0"/>
        <v>76</v>
      </c>
      <c r="P25" s="10">
        <f t="shared" si="0"/>
        <v>77</v>
      </c>
      <c r="Q25" s="10">
        <f t="shared" si="0"/>
        <v>78</v>
      </c>
      <c r="R25" s="10">
        <f t="shared" si="0"/>
        <v>79</v>
      </c>
      <c r="S25" s="10">
        <f t="shared" si="0"/>
        <v>80</v>
      </c>
      <c r="T25" s="10">
        <f t="shared" si="0"/>
        <v>81</v>
      </c>
      <c r="U25" s="10">
        <f t="shared" si="0"/>
        <v>82</v>
      </c>
      <c r="V25" s="10">
        <f t="shared" si="0"/>
        <v>83</v>
      </c>
      <c r="W25" s="10">
        <f t="shared" si="0"/>
        <v>84</v>
      </c>
      <c r="X25" s="10">
        <f t="shared" si="0"/>
        <v>85</v>
      </c>
      <c r="Y25" s="10">
        <f t="shared" si="0"/>
        <v>86</v>
      </c>
      <c r="Z25" s="10">
        <f t="shared" si="0"/>
        <v>87</v>
      </c>
      <c r="AA25" s="10">
        <f t="shared" si="0"/>
        <v>88</v>
      </c>
      <c r="AB25" s="10">
        <f t="shared" si="0"/>
        <v>89</v>
      </c>
      <c r="AC25" s="10">
        <f t="shared" si="0"/>
        <v>90</v>
      </c>
      <c r="AD25" s="10">
        <f t="shared" si="0"/>
        <v>91</v>
      </c>
      <c r="AE25" s="10">
        <f t="shared" si="0"/>
        <v>92</v>
      </c>
      <c r="AF25" s="10">
        <f t="shared" si="0"/>
        <v>93</v>
      </c>
      <c r="AG25" s="10">
        <f t="shared" si="0"/>
        <v>94</v>
      </c>
      <c r="AH25" s="10">
        <f t="shared" si="0"/>
        <v>95</v>
      </c>
      <c r="AI25" s="10">
        <f t="shared" si="0"/>
        <v>96</v>
      </c>
    </row>
    <row r="26" spans="2:35" x14ac:dyDescent="0.25">
      <c r="B26" t="s">
        <v>20</v>
      </c>
      <c r="D26" s="3">
        <f>C11</f>
        <v>62</v>
      </c>
      <c r="E26" s="3">
        <f>D26+1</f>
        <v>63</v>
      </c>
      <c r="F26" s="3">
        <f t="shared" si="0"/>
        <v>64</v>
      </c>
      <c r="G26" s="3">
        <f t="shared" si="0"/>
        <v>65</v>
      </c>
      <c r="H26" s="3">
        <f t="shared" si="0"/>
        <v>66</v>
      </c>
      <c r="I26" s="3">
        <f t="shared" si="0"/>
        <v>67</v>
      </c>
      <c r="J26" s="3">
        <f t="shared" si="0"/>
        <v>68</v>
      </c>
      <c r="K26" s="3">
        <f t="shared" si="0"/>
        <v>69</v>
      </c>
      <c r="L26" s="10">
        <f t="shared" si="0"/>
        <v>70</v>
      </c>
      <c r="M26" s="10">
        <f t="shared" si="0"/>
        <v>71</v>
      </c>
      <c r="N26" s="10">
        <f t="shared" si="0"/>
        <v>72</v>
      </c>
      <c r="O26" s="10">
        <f t="shared" si="0"/>
        <v>73</v>
      </c>
      <c r="P26" s="10">
        <f t="shared" si="0"/>
        <v>74</v>
      </c>
      <c r="Q26" s="10">
        <f t="shared" si="0"/>
        <v>75</v>
      </c>
      <c r="R26" s="10">
        <f t="shared" si="0"/>
        <v>76</v>
      </c>
      <c r="S26" s="10">
        <f t="shared" si="0"/>
        <v>77</v>
      </c>
      <c r="T26" s="10">
        <f t="shared" si="0"/>
        <v>78</v>
      </c>
      <c r="U26" s="10">
        <f t="shared" si="0"/>
        <v>79</v>
      </c>
      <c r="V26" s="10">
        <f t="shared" si="0"/>
        <v>80</v>
      </c>
      <c r="W26" s="10">
        <f t="shared" si="0"/>
        <v>81</v>
      </c>
      <c r="X26" s="10">
        <f t="shared" si="0"/>
        <v>82</v>
      </c>
      <c r="Y26" s="10">
        <f t="shared" si="0"/>
        <v>83</v>
      </c>
      <c r="Z26" s="10">
        <f t="shared" si="0"/>
        <v>84</v>
      </c>
      <c r="AA26" s="10">
        <f t="shared" si="0"/>
        <v>85</v>
      </c>
      <c r="AB26" s="10">
        <f t="shared" si="0"/>
        <v>86</v>
      </c>
      <c r="AC26" s="10">
        <f t="shared" si="0"/>
        <v>87</v>
      </c>
      <c r="AD26" s="10">
        <f t="shared" si="0"/>
        <v>88</v>
      </c>
      <c r="AE26" s="10">
        <f t="shared" si="0"/>
        <v>89</v>
      </c>
      <c r="AF26" s="10">
        <f t="shared" si="0"/>
        <v>90</v>
      </c>
      <c r="AG26" s="10">
        <f t="shared" si="0"/>
        <v>91</v>
      </c>
      <c r="AH26" s="10">
        <f t="shared" si="0"/>
        <v>92</v>
      </c>
      <c r="AI26" s="10">
        <f t="shared" si="0"/>
        <v>93</v>
      </c>
    </row>
    <row r="27" spans="2:35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9" spans="2:35" x14ac:dyDescent="0.25">
      <c r="B29" t="s">
        <v>0</v>
      </c>
      <c r="D29" s="13">
        <v>115568.23521989054</v>
      </c>
      <c r="E29" s="8">
        <f>D56</f>
        <v>113706.96080257736</v>
      </c>
      <c r="F29" s="8">
        <f t="shared" ref="F29:AI29" si="1">E56</f>
        <v>111706.55612257002</v>
      </c>
      <c r="G29" s="8">
        <f t="shared" si="1"/>
        <v>109556.62119273213</v>
      </c>
      <c r="H29" s="8">
        <f t="shared" si="1"/>
        <v>107245.97862688884</v>
      </c>
      <c r="I29" s="8">
        <f t="shared" si="1"/>
        <v>104762.61552924878</v>
      </c>
      <c r="J29" s="8">
        <f t="shared" si="1"/>
        <v>102093.62104006014</v>
      </c>
      <c r="K29" s="8">
        <f t="shared" si="1"/>
        <v>99225.119212804639</v>
      </c>
      <c r="L29" s="8">
        <f t="shared" si="1"/>
        <v>96142.196873961788</v>
      </c>
      <c r="M29" s="8">
        <f t="shared" si="1"/>
        <v>92828.826090290429</v>
      </c>
      <c r="N29" s="8">
        <f t="shared" si="1"/>
        <v>89267.78084053965</v>
      </c>
      <c r="O29" s="8">
        <f t="shared" si="1"/>
        <v>85440.547458369983</v>
      </c>
      <c r="P29" s="8">
        <f t="shared" si="1"/>
        <v>81327.228380883142</v>
      </c>
      <c r="Q29" s="8">
        <f t="shared" si="1"/>
        <v>76906.438702354164</v>
      </c>
      <c r="R29" s="8">
        <f t="shared" si="1"/>
        <v>72155.194995355138</v>
      </c>
      <c r="S29" s="8">
        <f t="shared" si="1"/>
        <v>67048.795821257925</v>
      </c>
      <c r="T29" s="8">
        <f t="shared" si="1"/>
        <v>61560.693308896967</v>
      </c>
      <c r="U29" s="8">
        <f t="shared" si="1"/>
        <v>55662.355133737015</v>
      </c>
      <c r="V29" s="8">
        <f t="shared" si="1"/>
        <v>49323.116179983859</v>
      </c>
      <c r="W29" s="8">
        <f t="shared" si="1"/>
        <v>42510.019114437651</v>
      </c>
      <c r="X29" s="8">
        <f t="shared" si="1"/>
        <v>35187.643043241864</v>
      </c>
      <c r="Y29" s="8">
        <f t="shared" si="1"/>
        <v>27317.919360724198</v>
      </c>
      <c r="Z29" s="8">
        <f t="shared" si="1"/>
        <v>18859.933832938332</v>
      </c>
      <c r="AA29" s="8">
        <f t="shared" si="1"/>
        <v>9769.7138869504743</v>
      </c>
      <c r="AB29" s="8">
        <f t="shared" si="1"/>
        <v>2.1827872842550278E-11</v>
      </c>
      <c r="AC29" s="8">
        <f t="shared" si="1"/>
        <v>2.3459506337530908E-11</v>
      </c>
      <c r="AD29" s="8">
        <f t="shared" si="1"/>
        <v>2.5213104436261344E-11</v>
      </c>
      <c r="AE29" s="8">
        <f t="shared" si="1"/>
        <v>2.709778399287188E-11</v>
      </c>
      <c r="AF29" s="8">
        <f t="shared" si="1"/>
        <v>2.9123343346339052E-11</v>
      </c>
      <c r="AG29" s="8">
        <f t="shared" si="1"/>
        <v>3.1300313261477896E-11</v>
      </c>
      <c r="AH29" s="8">
        <f t="shared" si="1"/>
        <v>3.3640011677773363E-11</v>
      </c>
      <c r="AI29" s="8">
        <f t="shared" si="1"/>
        <v>3.6154602550686924E-11</v>
      </c>
    </row>
    <row r="30" spans="2:35" x14ac:dyDescent="0.25">
      <c r="B30" t="s">
        <v>2</v>
      </c>
      <c r="D30" s="9">
        <f>C20</f>
        <v>3.5000000000000003E-2</v>
      </c>
      <c r="E30" s="1">
        <f>D30</f>
        <v>3.5000000000000003E-2</v>
      </c>
      <c r="F30" s="1">
        <f t="shared" ref="F30:AI30" si="2">E30</f>
        <v>3.5000000000000003E-2</v>
      </c>
      <c r="G30" s="1">
        <f t="shared" si="2"/>
        <v>3.5000000000000003E-2</v>
      </c>
      <c r="H30" s="1">
        <f t="shared" si="2"/>
        <v>3.5000000000000003E-2</v>
      </c>
      <c r="I30" s="1">
        <f t="shared" si="2"/>
        <v>3.5000000000000003E-2</v>
      </c>
      <c r="J30" s="1">
        <f t="shared" si="2"/>
        <v>3.5000000000000003E-2</v>
      </c>
      <c r="K30" s="1">
        <f t="shared" si="2"/>
        <v>3.5000000000000003E-2</v>
      </c>
      <c r="L30" s="1">
        <f t="shared" si="2"/>
        <v>3.5000000000000003E-2</v>
      </c>
      <c r="M30" s="1">
        <f t="shared" si="2"/>
        <v>3.5000000000000003E-2</v>
      </c>
      <c r="N30" s="1">
        <f t="shared" si="2"/>
        <v>3.5000000000000003E-2</v>
      </c>
      <c r="O30" s="1">
        <f t="shared" si="2"/>
        <v>3.5000000000000003E-2</v>
      </c>
      <c r="P30" s="1">
        <f t="shared" si="2"/>
        <v>3.5000000000000003E-2</v>
      </c>
      <c r="Q30" s="1">
        <f t="shared" si="2"/>
        <v>3.5000000000000003E-2</v>
      </c>
      <c r="R30" s="1">
        <f t="shared" si="2"/>
        <v>3.5000000000000003E-2</v>
      </c>
      <c r="S30" s="1">
        <f t="shared" si="2"/>
        <v>3.5000000000000003E-2</v>
      </c>
      <c r="T30" s="1">
        <f t="shared" si="2"/>
        <v>3.5000000000000003E-2</v>
      </c>
      <c r="U30" s="1">
        <f t="shared" si="2"/>
        <v>3.5000000000000003E-2</v>
      </c>
      <c r="V30" s="1">
        <f t="shared" si="2"/>
        <v>3.5000000000000003E-2</v>
      </c>
      <c r="W30" s="1">
        <f t="shared" si="2"/>
        <v>3.5000000000000003E-2</v>
      </c>
      <c r="X30" s="1">
        <f t="shared" si="2"/>
        <v>3.5000000000000003E-2</v>
      </c>
      <c r="Y30" s="1">
        <f t="shared" si="2"/>
        <v>3.5000000000000003E-2</v>
      </c>
      <c r="Z30" s="1">
        <f t="shared" si="2"/>
        <v>3.5000000000000003E-2</v>
      </c>
      <c r="AA30" s="1">
        <f t="shared" si="2"/>
        <v>3.5000000000000003E-2</v>
      </c>
      <c r="AB30" s="1">
        <f t="shared" si="2"/>
        <v>3.5000000000000003E-2</v>
      </c>
      <c r="AC30" s="1">
        <f t="shared" si="2"/>
        <v>3.5000000000000003E-2</v>
      </c>
      <c r="AD30" s="1">
        <f t="shared" si="2"/>
        <v>3.5000000000000003E-2</v>
      </c>
      <c r="AE30" s="1">
        <f t="shared" si="2"/>
        <v>3.5000000000000003E-2</v>
      </c>
      <c r="AF30" s="1">
        <f t="shared" si="2"/>
        <v>3.5000000000000003E-2</v>
      </c>
      <c r="AG30" s="1">
        <f t="shared" si="2"/>
        <v>3.5000000000000003E-2</v>
      </c>
      <c r="AH30" s="1">
        <f t="shared" si="2"/>
        <v>3.5000000000000003E-2</v>
      </c>
      <c r="AI30" s="1">
        <f t="shared" si="2"/>
        <v>3.5000000000000003E-2</v>
      </c>
    </row>
    <row r="31" spans="2:35" x14ac:dyDescent="0.25">
      <c r="B31" t="s">
        <v>1</v>
      </c>
      <c r="D31" s="10">
        <f>D29*D30</f>
        <v>4044.8882326961693</v>
      </c>
      <c r="E31" s="3">
        <f t="shared" ref="E31:AI31" si="3">E29*E30</f>
        <v>3979.7436280902079</v>
      </c>
      <c r="F31" s="3">
        <f t="shared" si="3"/>
        <v>3909.729464289951</v>
      </c>
      <c r="G31" s="3">
        <f t="shared" si="3"/>
        <v>3834.4817417456247</v>
      </c>
      <c r="H31" s="3">
        <f t="shared" si="3"/>
        <v>3753.60925194111</v>
      </c>
      <c r="I31" s="3">
        <f t="shared" si="3"/>
        <v>3666.6915435237079</v>
      </c>
      <c r="J31" s="3">
        <f t="shared" si="3"/>
        <v>3573.2767364021051</v>
      </c>
      <c r="K31" s="3">
        <f t="shared" si="3"/>
        <v>3472.8791724481625</v>
      </c>
      <c r="L31" s="3">
        <f t="shared" si="3"/>
        <v>3364.9768905886631</v>
      </c>
      <c r="M31" s="3">
        <f t="shared" si="3"/>
        <v>3249.0089131601653</v>
      </c>
      <c r="N31" s="3">
        <f t="shared" si="3"/>
        <v>3124.3723294188881</v>
      </c>
      <c r="O31" s="3">
        <f t="shared" si="3"/>
        <v>2990.4191610429498</v>
      </c>
      <c r="P31" s="3">
        <f t="shared" si="3"/>
        <v>2846.4529933309104</v>
      </c>
      <c r="Q31" s="3">
        <f t="shared" si="3"/>
        <v>2691.725354582396</v>
      </c>
      <c r="R31" s="3">
        <f t="shared" si="3"/>
        <v>2525.4318248374302</v>
      </c>
      <c r="S31" s="3">
        <f t="shared" si="3"/>
        <v>2346.7078537440275</v>
      </c>
      <c r="T31" s="3">
        <f t="shared" si="3"/>
        <v>2154.6242658113943</v>
      </c>
      <c r="U31" s="3">
        <f t="shared" si="3"/>
        <v>1948.1824296807956</v>
      </c>
      <c r="V31" s="3">
        <f t="shared" si="3"/>
        <v>1726.3090662994352</v>
      </c>
      <c r="W31" s="3">
        <f t="shared" si="3"/>
        <v>1487.850669005318</v>
      </c>
      <c r="X31" s="3">
        <f t="shared" si="3"/>
        <v>1231.5675065134653</v>
      </c>
      <c r="Y31" s="3">
        <f t="shared" si="3"/>
        <v>956.12717762534703</v>
      </c>
      <c r="Z31" s="3">
        <f t="shared" si="3"/>
        <v>660.09768415284168</v>
      </c>
      <c r="AA31" s="3">
        <f t="shared" si="3"/>
        <v>341.93998604326663</v>
      </c>
      <c r="AB31" s="3">
        <f t="shared" si="3"/>
        <v>7.6397554948925979E-13</v>
      </c>
      <c r="AC31" s="3">
        <f t="shared" si="3"/>
        <v>8.2108272181358187E-13</v>
      </c>
      <c r="AD31" s="3">
        <f t="shared" si="3"/>
        <v>8.8245865526914715E-13</v>
      </c>
      <c r="AE31" s="3">
        <f t="shared" si="3"/>
        <v>9.4842243975051581E-13</v>
      </c>
      <c r="AF31" s="3">
        <f t="shared" si="3"/>
        <v>1.0193170171218669E-12</v>
      </c>
      <c r="AG31" s="3">
        <f t="shared" si="3"/>
        <v>1.0955109641517264E-12</v>
      </c>
      <c r="AH31" s="3">
        <f t="shared" si="3"/>
        <v>1.1774004087220679E-12</v>
      </c>
      <c r="AI31" s="3">
        <f t="shared" si="3"/>
        <v>1.2654110892740425E-12</v>
      </c>
    </row>
    <row r="32" spans="2:35" x14ac:dyDescent="0.25">
      <c r="B32" t="s">
        <v>4</v>
      </c>
      <c r="D32" s="9">
        <f>C14</f>
        <v>0.15</v>
      </c>
      <c r="E32" s="4">
        <f>D32</f>
        <v>0.15</v>
      </c>
      <c r="F32" s="4">
        <f t="shared" ref="F32:AI32" si="4">E32</f>
        <v>0.15</v>
      </c>
      <c r="G32" s="4">
        <f t="shared" si="4"/>
        <v>0.15</v>
      </c>
      <c r="H32" s="4">
        <f t="shared" si="4"/>
        <v>0.15</v>
      </c>
      <c r="I32" s="4">
        <f t="shared" si="4"/>
        <v>0.15</v>
      </c>
      <c r="J32" s="4">
        <f t="shared" si="4"/>
        <v>0.15</v>
      </c>
      <c r="K32" s="4">
        <f t="shared" si="4"/>
        <v>0.15</v>
      </c>
      <c r="L32" s="4">
        <f t="shared" si="4"/>
        <v>0.15</v>
      </c>
      <c r="M32" s="4">
        <f t="shared" si="4"/>
        <v>0.15</v>
      </c>
      <c r="N32" s="4">
        <f t="shared" si="4"/>
        <v>0.15</v>
      </c>
      <c r="O32" s="4">
        <f t="shared" si="4"/>
        <v>0.15</v>
      </c>
      <c r="P32" s="4">
        <f t="shared" si="4"/>
        <v>0.15</v>
      </c>
      <c r="Q32" s="4">
        <f t="shared" si="4"/>
        <v>0.15</v>
      </c>
      <c r="R32" s="4">
        <f t="shared" si="4"/>
        <v>0.15</v>
      </c>
      <c r="S32" s="4">
        <f t="shared" si="4"/>
        <v>0.15</v>
      </c>
      <c r="T32" s="4">
        <f t="shared" si="4"/>
        <v>0.15</v>
      </c>
      <c r="U32" s="4">
        <f t="shared" si="4"/>
        <v>0.15</v>
      </c>
      <c r="V32" s="4">
        <f t="shared" si="4"/>
        <v>0.15</v>
      </c>
      <c r="W32" s="4">
        <f t="shared" si="4"/>
        <v>0.15</v>
      </c>
      <c r="X32" s="4">
        <f t="shared" si="4"/>
        <v>0.15</v>
      </c>
      <c r="Y32" s="4">
        <f t="shared" si="4"/>
        <v>0.15</v>
      </c>
      <c r="Z32" s="4">
        <f t="shared" si="4"/>
        <v>0.15</v>
      </c>
      <c r="AA32" s="4">
        <f t="shared" si="4"/>
        <v>0.15</v>
      </c>
      <c r="AB32" s="4">
        <f t="shared" si="4"/>
        <v>0.15</v>
      </c>
      <c r="AC32" s="4">
        <f t="shared" si="4"/>
        <v>0.15</v>
      </c>
      <c r="AD32" s="4">
        <f t="shared" si="4"/>
        <v>0.15</v>
      </c>
      <c r="AE32" s="4">
        <f t="shared" si="4"/>
        <v>0.15</v>
      </c>
      <c r="AF32" s="4">
        <f t="shared" si="4"/>
        <v>0.15</v>
      </c>
      <c r="AG32" s="4">
        <f t="shared" si="4"/>
        <v>0.15</v>
      </c>
      <c r="AH32" s="4">
        <f t="shared" si="4"/>
        <v>0.15</v>
      </c>
      <c r="AI32" s="4">
        <f t="shared" si="4"/>
        <v>0.15</v>
      </c>
    </row>
    <row r="33" spans="2:35" x14ac:dyDescent="0.25">
      <c r="B33" t="s">
        <v>5</v>
      </c>
      <c r="D33" s="10">
        <f>IF((D31*D32)&lt;0,0,(D31*D32))</f>
        <v>606.73323490442533</v>
      </c>
      <c r="E33" s="10">
        <f t="shared" ref="E33:AI33" si="5">IF((E31*E32)&lt;0,0,(E31*E32))</f>
        <v>596.96154421353117</v>
      </c>
      <c r="F33" s="10">
        <f t="shared" si="5"/>
        <v>586.45941964349265</v>
      </c>
      <c r="G33" s="10">
        <f t="shared" si="5"/>
        <v>575.17226126184369</v>
      </c>
      <c r="H33" s="10">
        <f t="shared" si="5"/>
        <v>563.04138779116647</v>
      </c>
      <c r="I33" s="10">
        <f t="shared" si="5"/>
        <v>550.00373152855616</v>
      </c>
      <c r="J33" s="10">
        <f t="shared" si="5"/>
        <v>535.99151046031579</v>
      </c>
      <c r="K33" s="10">
        <f t="shared" si="5"/>
        <v>520.93187586722433</v>
      </c>
      <c r="L33" s="10">
        <f t="shared" si="5"/>
        <v>504.74653358829943</v>
      </c>
      <c r="M33" s="10">
        <f t="shared" si="5"/>
        <v>487.35133697402478</v>
      </c>
      <c r="N33" s="10">
        <f t="shared" si="5"/>
        <v>468.65584941283316</v>
      </c>
      <c r="O33" s="10">
        <f t="shared" si="5"/>
        <v>448.56287415644243</v>
      </c>
      <c r="P33" s="10">
        <f t="shared" si="5"/>
        <v>426.96794899963658</v>
      </c>
      <c r="Q33" s="10">
        <f t="shared" si="5"/>
        <v>403.75880318735938</v>
      </c>
      <c r="R33" s="10">
        <f t="shared" si="5"/>
        <v>378.81477372561454</v>
      </c>
      <c r="S33" s="10">
        <f t="shared" si="5"/>
        <v>352.00617806160409</v>
      </c>
      <c r="T33" s="10">
        <f t="shared" si="5"/>
        <v>323.19363987170914</v>
      </c>
      <c r="U33" s="10">
        <f t="shared" si="5"/>
        <v>292.22736445211933</v>
      </c>
      <c r="V33" s="10">
        <f t="shared" si="5"/>
        <v>258.94635994491529</v>
      </c>
      <c r="W33" s="10">
        <f t="shared" si="5"/>
        <v>223.17760035079769</v>
      </c>
      <c r="X33" s="10">
        <f t="shared" si="5"/>
        <v>184.73512597701981</v>
      </c>
      <c r="Y33" s="10">
        <f t="shared" si="5"/>
        <v>143.41907664380204</v>
      </c>
      <c r="Z33" s="10">
        <f t="shared" si="5"/>
        <v>99.014652622926249</v>
      </c>
      <c r="AA33" s="10">
        <f t="shared" si="5"/>
        <v>51.290997906489991</v>
      </c>
      <c r="AB33" s="10">
        <f t="shared" si="5"/>
        <v>1.1459633242338896E-13</v>
      </c>
      <c r="AC33" s="10">
        <f t="shared" si="5"/>
        <v>1.2316240827203728E-13</v>
      </c>
      <c r="AD33" s="10">
        <f t="shared" si="5"/>
        <v>1.3236879829037207E-13</v>
      </c>
      <c r="AE33" s="10">
        <f t="shared" si="5"/>
        <v>1.4226336596257738E-13</v>
      </c>
      <c r="AF33" s="10">
        <f t="shared" si="5"/>
        <v>1.5289755256828002E-13</v>
      </c>
      <c r="AG33" s="10">
        <f t="shared" si="5"/>
        <v>1.6432664462275895E-13</v>
      </c>
      <c r="AH33" s="10">
        <f t="shared" si="5"/>
        <v>1.7661006130831017E-13</v>
      </c>
      <c r="AI33" s="10">
        <f t="shared" si="5"/>
        <v>1.8981166339110637E-13</v>
      </c>
    </row>
    <row r="34" spans="2:35" x14ac:dyDescent="0.25">
      <c r="B34" t="s">
        <v>6</v>
      </c>
      <c r="D34" s="10">
        <f>IF((D31-D33)&lt;0,0,(D31-D33))</f>
        <v>3438.1549977917439</v>
      </c>
      <c r="E34" s="10">
        <f t="shared" ref="E34:AI34" si="6">IF((E31-E33)&lt;0,0,(E31-E33))</f>
        <v>3382.7820838766766</v>
      </c>
      <c r="F34" s="10">
        <f t="shared" si="6"/>
        <v>3323.2700446464582</v>
      </c>
      <c r="G34" s="10">
        <f t="shared" si="6"/>
        <v>3259.309480483781</v>
      </c>
      <c r="H34" s="10">
        <f t="shared" si="6"/>
        <v>3190.5678641499435</v>
      </c>
      <c r="I34" s="10">
        <f t="shared" si="6"/>
        <v>3116.6878119951516</v>
      </c>
      <c r="J34" s="10">
        <f t="shared" si="6"/>
        <v>3037.2852259417896</v>
      </c>
      <c r="K34" s="10">
        <f t="shared" si="6"/>
        <v>2951.9472965809382</v>
      </c>
      <c r="L34" s="10">
        <f t="shared" si="6"/>
        <v>2860.2303570003637</v>
      </c>
      <c r="M34" s="10">
        <f t="shared" si="6"/>
        <v>2761.6575761861404</v>
      </c>
      <c r="N34" s="10">
        <f t="shared" si="6"/>
        <v>2655.716480006055</v>
      </c>
      <c r="O34" s="10">
        <f t="shared" si="6"/>
        <v>2541.8562868865074</v>
      </c>
      <c r="P34" s="10">
        <f t="shared" si="6"/>
        <v>2419.4850443312739</v>
      </c>
      <c r="Q34" s="10">
        <f t="shared" si="6"/>
        <v>2287.9665513950367</v>
      </c>
      <c r="R34" s="10">
        <f t="shared" si="6"/>
        <v>2146.6170511118157</v>
      </c>
      <c r="S34" s="10">
        <f t="shared" si="6"/>
        <v>1994.7016756824235</v>
      </c>
      <c r="T34" s="10">
        <f t="shared" si="6"/>
        <v>1831.4306259396851</v>
      </c>
      <c r="U34" s="10">
        <f t="shared" si="6"/>
        <v>1655.9550652286762</v>
      </c>
      <c r="V34" s="10">
        <f t="shared" si="6"/>
        <v>1467.36270635452</v>
      </c>
      <c r="W34" s="10">
        <f t="shared" si="6"/>
        <v>1264.6730686545202</v>
      </c>
      <c r="X34" s="10">
        <f t="shared" si="6"/>
        <v>1046.8323805364455</v>
      </c>
      <c r="Y34" s="10">
        <f t="shared" si="6"/>
        <v>812.70810098154493</v>
      </c>
      <c r="Z34" s="10">
        <f t="shared" si="6"/>
        <v>561.08303152991539</v>
      </c>
      <c r="AA34" s="10">
        <f t="shared" si="6"/>
        <v>290.64898813677667</v>
      </c>
      <c r="AB34" s="10">
        <f t="shared" si="6"/>
        <v>6.4937921706587083E-13</v>
      </c>
      <c r="AC34" s="10">
        <f t="shared" si="6"/>
        <v>6.9792031354154459E-13</v>
      </c>
      <c r="AD34" s="10">
        <f t="shared" si="6"/>
        <v>7.500898569787751E-13</v>
      </c>
      <c r="AE34" s="10">
        <f t="shared" si="6"/>
        <v>8.0615907378793841E-13</v>
      </c>
      <c r="AF34" s="10">
        <f t="shared" si="6"/>
        <v>8.6641946455358689E-13</v>
      </c>
      <c r="AG34" s="10">
        <f t="shared" si="6"/>
        <v>9.311843195289674E-13</v>
      </c>
      <c r="AH34" s="10">
        <f t="shared" si="6"/>
        <v>1.0007903474137576E-12</v>
      </c>
      <c r="AI34" s="10">
        <f t="shared" si="6"/>
        <v>1.0755994258829362E-12</v>
      </c>
    </row>
    <row r="35" spans="2:35" x14ac:dyDescent="0.25">
      <c r="D35" s="11"/>
    </row>
    <row r="36" spans="2:35" x14ac:dyDescent="0.25">
      <c r="B36" t="s">
        <v>7</v>
      </c>
      <c r="D36" s="9">
        <f>C21</f>
        <v>4.4999999999999998E-2</v>
      </c>
      <c r="E36" s="1">
        <f>D36</f>
        <v>4.4999999999999998E-2</v>
      </c>
      <c r="F36" s="1">
        <f t="shared" ref="F36:AI36" si="7">E36</f>
        <v>4.4999999999999998E-2</v>
      </c>
      <c r="G36" s="1">
        <f t="shared" si="7"/>
        <v>4.4999999999999998E-2</v>
      </c>
      <c r="H36" s="1">
        <f t="shared" si="7"/>
        <v>4.4999999999999998E-2</v>
      </c>
      <c r="I36" s="1">
        <f t="shared" si="7"/>
        <v>4.4999999999999998E-2</v>
      </c>
      <c r="J36" s="1">
        <f t="shared" si="7"/>
        <v>4.4999999999999998E-2</v>
      </c>
      <c r="K36" s="1">
        <f t="shared" si="7"/>
        <v>4.4999999999999998E-2</v>
      </c>
      <c r="L36" s="1">
        <f t="shared" si="7"/>
        <v>4.4999999999999998E-2</v>
      </c>
      <c r="M36" s="1">
        <f t="shared" si="7"/>
        <v>4.4999999999999998E-2</v>
      </c>
      <c r="N36" s="1">
        <f t="shared" si="7"/>
        <v>4.4999999999999998E-2</v>
      </c>
      <c r="O36" s="1">
        <f t="shared" si="7"/>
        <v>4.4999999999999998E-2</v>
      </c>
      <c r="P36" s="1">
        <f t="shared" si="7"/>
        <v>4.4999999999999998E-2</v>
      </c>
      <c r="Q36" s="1">
        <f t="shared" si="7"/>
        <v>4.4999999999999998E-2</v>
      </c>
      <c r="R36" s="1">
        <f t="shared" si="7"/>
        <v>4.4999999999999998E-2</v>
      </c>
      <c r="S36" s="1">
        <f t="shared" si="7"/>
        <v>4.4999999999999998E-2</v>
      </c>
      <c r="T36" s="1">
        <f t="shared" si="7"/>
        <v>4.4999999999999998E-2</v>
      </c>
      <c r="U36" s="1">
        <f t="shared" si="7"/>
        <v>4.4999999999999998E-2</v>
      </c>
      <c r="V36" s="1">
        <f t="shared" si="7"/>
        <v>4.4999999999999998E-2</v>
      </c>
      <c r="W36" s="1">
        <f t="shared" si="7"/>
        <v>4.4999999999999998E-2</v>
      </c>
      <c r="X36" s="1">
        <f t="shared" si="7"/>
        <v>4.4999999999999998E-2</v>
      </c>
      <c r="Y36" s="1">
        <f t="shared" si="7"/>
        <v>4.4999999999999998E-2</v>
      </c>
      <c r="Z36" s="1">
        <f t="shared" si="7"/>
        <v>4.4999999999999998E-2</v>
      </c>
      <c r="AA36" s="1">
        <f t="shared" si="7"/>
        <v>4.4999999999999998E-2</v>
      </c>
      <c r="AB36" s="1">
        <f t="shared" si="7"/>
        <v>4.4999999999999998E-2</v>
      </c>
      <c r="AC36" s="1">
        <f t="shared" si="7"/>
        <v>4.4999999999999998E-2</v>
      </c>
      <c r="AD36" s="1">
        <f t="shared" si="7"/>
        <v>4.4999999999999998E-2</v>
      </c>
      <c r="AE36" s="1">
        <f t="shared" si="7"/>
        <v>4.4999999999999998E-2</v>
      </c>
      <c r="AF36" s="1">
        <f t="shared" si="7"/>
        <v>4.4999999999999998E-2</v>
      </c>
      <c r="AG36" s="1">
        <f t="shared" si="7"/>
        <v>4.4999999999999998E-2</v>
      </c>
      <c r="AH36" s="1">
        <f t="shared" si="7"/>
        <v>4.4999999999999998E-2</v>
      </c>
      <c r="AI36" s="1">
        <f t="shared" si="7"/>
        <v>4.4999999999999998E-2</v>
      </c>
    </row>
    <row r="37" spans="2:35" x14ac:dyDescent="0.25">
      <c r="B37" t="s">
        <v>8</v>
      </c>
      <c r="D37" s="10">
        <f>IF((D36*D29)&lt;0,0,(D36*D29))</f>
        <v>5200.5705848950738</v>
      </c>
      <c r="E37" s="10">
        <f t="shared" ref="E37:AI37" si="8">IF((E36*E29)&lt;0,0,(E36*E29))</f>
        <v>5116.8132361159815</v>
      </c>
      <c r="F37" s="10">
        <f t="shared" si="8"/>
        <v>5026.7950255156511</v>
      </c>
      <c r="G37" s="10">
        <f t="shared" si="8"/>
        <v>4930.0479536729454</v>
      </c>
      <c r="H37" s="10">
        <f t="shared" si="8"/>
        <v>4826.0690382099974</v>
      </c>
      <c r="I37" s="10">
        <f t="shared" si="8"/>
        <v>4714.3176988161949</v>
      </c>
      <c r="J37" s="10">
        <f t="shared" si="8"/>
        <v>4594.212946802706</v>
      </c>
      <c r="K37" s="10">
        <f t="shared" si="8"/>
        <v>4465.1303645762082</v>
      </c>
      <c r="L37" s="10">
        <f t="shared" si="8"/>
        <v>4326.3988593282802</v>
      </c>
      <c r="M37" s="10">
        <f t="shared" si="8"/>
        <v>4177.2971740630692</v>
      </c>
      <c r="N37" s="10">
        <f t="shared" si="8"/>
        <v>4017.0501378242843</v>
      </c>
      <c r="O37" s="10">
        <f t="shared" si="8"/>
        <v>3844.8246356266491</v>
      </c>
      <c r="P37" s="10">
        <f t="shared" si="8"/>
        <v>3659.7252771397411</v>
      </c>
      <c r="Q37" s="10">
        <f t="shared" si="8"/>
        <v>3460.7897416059373</v>
      </c>
      <c r="R37" s="10">
        <f t="shared" si="8"/>
        <v>3246.983774790981</v>
      </c>
      <c r="S37" s="10">
        <f t="shared" si="8"/>
        <v>3017.1958119566066</v>
      </c>
      <c r="T37" s="10">
        <f t="shared" si="8"/>
        <v>2770.2311989003633</v>
      </c>
      <c r="U37" s="10">
        <f t="shared" si="8"/>
        <v>2504.8059810181658</v>
      </c>
      <c r="V37" s="10">
        <f t="shared" si="8"/>
        <v>2219.5402280992735</v>
      </c>
      <c r="W37" s="10">
        <f t="shared" si="8"/>
        <v>1912.9508601496943</v>
      </c>
      <c r="X37" s="10">
        <f t="shared" si="8"/>
        <v>1583.4439369458837</v>
      </c>
      <c r="Y37" s="10">
        <f t="shared" si="8"/>
        <v>1229.3063712325888</v>
      </c>
      <c r="Z37" s="10">
        <f t="shared" si="8"/>
        <v>848.69702248222495</v>
      </c>
      <c r="AA37" s="10">
        <f t="shared" si="8"/>
        <v>439.6371249127713</v>
      </c>
      <c r="AB37" s="10">
        <f t="shared" si="8"/>
        <v>9.8225427791476256E-13</v>
      </c>
      <c r="AC37" s="10">
        <f t="shared" si="8"/>
        <v>1.0556777851888908E-12</v>
      </c>
      <c r="AD37" s="10">
        <f t="shared" si="8"/>
        <v>1.1345896996317604E-12</v>
      </c>
      <c r="AE37" s="10">
        <f t="shared" si="8"/>
        <v>1.2194002796792345E-12</v>
      </c>
      <c r="AF37" s="10">
        <f t="shared" si="8"/>
        <v>1.3105504505852573E-12</v>
      </c>
      <c r="AG37" s="10">
        <f t="shared" si="8"/>
        <v>1.4085140967665053E-12</v>
      </c>
      <c r="AH37" s="10">
        <f t="shared" si="8"/>
        <v>1.5138005254998012E-12</v>
      </c>
      <c r="AI37" s="10">
        <f t="shared" si="8"/>
        <v>1.6269571147809115E-12</v>
      </c>
    </row>
    <row r="38" spans="2:35" x14ac:dyDescent="0.25">
      <c r="D38" s="11"/>
    </row>
    <row r="39" spans="2:35" x14ac:dyDescent="0.25">
      <c r="B39" t="s">
        <v>9</v>
      </c>
      <c r="D39" s="10">
        <f>D29+D34+D37</f>
        <v>124206.96080257736</v>
      </c>
      <c r="E39" s="3">
        <f t="shared" ref="E39:AI39" si="9">E29+E34+E37</f>
        <v>122206.55612257002</v>
      </c>
      <c r="F39" s="3">
        <f t="shared" si="9"/>
        <v>120056.62119273213</v>
      </c>
      <c r="G39" s="3">
        <f t="shared" si="9"/>
        <v>117745.97862688884</v>
      </c>
      <c r="H39" s="3">
        <f t="shared" si="9"/>
        <v>115262.61552924878</v>
      </c>
      <c r="I39" s="3">
        <f t="shared" si="9"/>
        <v>112593.62104006014</v>
      </c>
      <c r="J39" s="3">
        <f t="shared" si="9"/>
        <v>109725.11921280464</v>
      </c>
      <c r="K39" s="3">
        <f t="shared" si="9"/>
        <v>106642.19687396179</v>
      </c>
      <c r="L39" s="3">
        <f t="shared" si="9"/>
        <v>103328.82609029043</v>
      </c>
      <c r="M39" s="3">
        <f t="shared" si="9"/>
        <v>99767.78084053965</v>
      </c>
      <c r="N39" s="3">
        <f t="shared" si="9"/>
        <v>95940.547458369983</v>
      </c>
      <c r="O39" s="3">
        <f t="shared" si="9"/>
        <v>91827.228380883142</v>
      </c>
      <c r="P39" s="3">
        <f t="shared" si="9"/>
        <v>87406.438702354164</v>
      </c>
      <c r="Q39" s="3">
        <f t="shared" si="9"/>
        <v>82655.194995355138</v>
      </c>
      <c r="R39" s="3">
        <f t="shared" si="9"/>
        <v>77548.795821257925</v>
      </c>
      <c r="S39" s="3">
        <f t="shared" si="9"/>
        <v>72060.693308896967</v>
      </c>
      <c r="T39" s="3">
        <f t="shared" si="9"/>
        <v>66162.355133737015</v>
      </c>
      <c r="U39" s="3">
        <f t="shared" si="9"/>
        <v>59823.116179983859</v>
      </c>
      <c r="V39" s="3">
        <f t="shared" si="9"/>
        <v>53010.019114437651</v>
      </c>
      <c r="W39" s="3">
        <f t="shared" si="9"/>
        <v>45687.643043241864</v>
      </c>
      <c r="X39" s="3">
        <f t="shared" si="9"/>
        <v>37817.919360724198</v>
      </c>
      <c r="Y39" s="3">
        <f t="shared" si="9"/>
        <v>29359.933832938332</v>
      </c>
      <c r="Z39" s="3">
        <f t="shared" si="9"/>
        <v>20269.713886950474</v>
      </c>
      <c r="AA39" s="3">
        <f t="shared" si="9"/>
        <v>10500.000000000022</v>
      </c>
      <c r="AB39" s="3">
        <f t="shared" si="9"/>
        <v>2.3459506337530908E-11</v>
      </c>
      <c r="AC39" s="3">
        <f t="shared" si="9"/>
        <v>2.5213104436261344E-11</v>
      </c>
      <c r="AD39" s="3">
        <f t="shared" si="9"/>
        <v>2.709778399287188E-11</v>
      </c>
      <c r="AE39" s="3">
        <f t="shared" si="9"/>
        <v>2.9123343346339052E-11</v>
      </c>
      <c r="AF39" s="3">
        <f t="shared" si="9"/>
        <v>3.1300313261477896E-11</v>
      </c>
      <c r="AG39" s="3">
        <f t="shared" si="9"/>
        <v>3.3640011677773363E-11</v>
      </c>
      <c r="AH39" s="3">
        <f t="shared" si="9"/>
        <v>3.6154602550686924E-11</v>
      </c>
      <c r="AI39" s="3">
        <f t="shared" si="9"/>
        <v>3.8857159091350774E-11</v>
      </c>
    </row>
    <row r="40" spans="2:35" x14ac:dyDescent="0.25">
      <c r="D40" s="11"/>
    </row>
    <row r="41" spans="2:35" x14ac:dyDescent="0.25">
      <c r="B41" t="s">
        <v>61</v>
      </c>
      <c r="C41" s="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 x14ac:dyDescent="0.25">
      <c r="B42" t="s">
        <v>62</v>
      </c>
      <c r="C42" s="2">
        <v>2</v>
      </c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 x14ac:dyDescent="0.25">
      <c r="B43" t="s">
        <v>66</v>
      </c>
      <c r="C43" s="2">
        <f>C42*7</f>
        <v>14</v>
      </c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25">
      <c r="C44" s="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25">
      <c r="B45" t="s">
        <v>63</v>
      </c>
      <c r="C45" s="2">
        <v>350</v>
      </c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25">
      <c r="B46" t="s">
        <v>65</v>
      </c>
      <c r="C46" s="2">
        <v>100</v>
      </c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25">
      <c r="B47" t="s">
        <v>64</v>
      </c>
      <c r="C47" s="2">
        <v>150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25">
      <c r="B48" t="s">
        <v>67</v>
      </c>
      <c r="C48" s="2">
        <v>150</v>
      </c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2:36" x14ac:dyDescent="0.25">
      <c r="B49" t="s">
        <v>68</v>
      </c>
      <c r="C49" s="2">
        <v>0</v>
      </c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6" x14ac:dyDescent="0.25">
      <c r="B50" t="s">
        <v>69</v>
      </c>
      <c r="C50" s="2">
        <v>0</v>
      </c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2:36" x14ac:dyDescent="0.25">
      <c r="C51" s="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2:36" x14ac:dyDescent="0.25">
      <c r="B52" t="s">
        <v>49</v>
      </c>
      <c r="C52" s="2">
        <f>(C43*(C45+C46+C47+C48)+(C49*C50))</f>
        <v>10500</v>
      </c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2:36" x14ac:dyDescent="0.25">
      <c r="B53" t="s">
        <v>70</v>
      </c>
      <c r="C53" s="2">
        <v>1</v>
      </c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2:36" x14ac:dyDescent="0.25">
      <c r="B54" t="s">
        <v>49</v>
      </c>
      <c r="C54" s="2">
        <f>C52/C53</f>
        <v>10500</v>
      </c>
      <c r="D54" s="12">
        <f>IF(D23&lt;$C$6,C54,0)</f>
        <v>10500</v>
      </c>
      <c r="E54" s="12">
        <f>IF(E23&lt;$C$6,D54,0)</f>
        <v>10500</v>
      </c>
      <c r="F54" s="12">
        <f>IF(F23&lt;$C$6,E54,0)</f>
        <v>10500</v>
      </c>
      <c r="G54" s="12">
        <f>IF(G23&lt;$C$6,F54,0)</f>
        <v>10500</v>
      </c>
      <c r="H54" s="12">
        <f>IF(H23&lt;$C$6,G54,0)</f>
        <v>10500</v>
      </c>
      <c r="I54" s="12">
        <f>IF(I23&lt;$C$6,H54,0)</f>
        <v>10500</v>
      </c>
      <c r="J54" s="12">
        <f>IF(J23&lt;$C$6,I54,0)</f>
        <v>10500</v>
      </c>
      <c r="K54" s="12">
        <f>IF(K23&lt;$C$6,J54,0)</f>
        <v>10500</v>
      </c>
      <c r="L54" s="12">
        <f>IF(L23&lt;$C$6,K54,0)</f>
        <v>10500</v>
      </c>
      <c r="M54" s="12">
        <f>IF(M23&lt;$C$6,L54,0)</f>
        <v>10500</v>
      </c>
      <c r="N54" s="12">
        <f>IF(N23&lt;$C$6,M54,0)</f>
        <v>10500</v>
      </c>
      <c r="O54" s="12">
        <f>IF(O23&lt;$C$6,N54,0)</f>
        <v>10500</v>
      </c>
      <c r="P54" s="12">
        <f>IF(P23&lt;$C$6,O54,0)</f>
        <v>10500</v>
      </c>
      <c r="Q54" s="12">
        <f>IF(Q23&lt;$C$6,P54,0)</f>
        <v>10500</v>
      </c>
      <c r="R54" s="12">
        <f>IF(R23&lt;$C$6,Q54,0)</f>
        <v>10500</v>
      </c>
      <c r="S54" s="12">
        <f>IF(S23&lt;$C$6,R54,0)</f>
        <v>10500</v>
      </c>
      <c r="T54" s="12">
        <f>IF(T23&lt;$C$6,S54,0)</f>
        <v>10500</v>
      </c>
      <c r="U54" s="12">
        <f>IF(U23&lt;$C$6,T54,0)</f>
        <v>10500</v>
      </c>
      <c r="V54" s="12">
        <f>IF(V23&lt;$C$6,U54,0)</f>
        <v>10500</v>
      </c>
      <c r="W54" s="12">
        <f>IF(W23&lt;$C$6,V54,0)</f>
        <v>10500</v>
      </c>
      <c r="X54" s="12">
        <f>IF(X23&lt;$C$6,W54,0)</f>
        <v>10500</v>
      </c>
      <c r="Y54" s="12">
        <f>IF(Y23&lt;$C$6,X54,0)</f>
        <v>10500</v>
      </c>
      <c r="Z54" s="12">
        <f>IF(Z23&lt;$C$6,Y54,0)</f>
        <v>10500</v>
      </c>
      <c r="AA54" s="12">
        <f>IF(AA23&lt;$C$6,Z54,0)</f>
        <v>10500</v>
      </c>
      <c r="AB54" s="12">
        <f>IF(AB23&lt;$C$6,AA54,0)</f>
        <v>0</v>
      </c>
      <c r="AC54" s="12">
        <f>IF(AC23&lt;$C$6,AB54,0)</f>
        <v>0</v>
      </c>
      <c r="AD54" s="12">
        <f>IF(AD23&lt;$C$6,AC54,0)</f>
        <v>0</v>
      </c>
      <c r="AE54" s="12">
        <f>IF(AE23&lt;$C$6,AD54,0)</f>
        <v>0</v>
      </c>
      <c r="AF54" s="12">
        <f>IF(AF23&lt;$C$6,AE54,0)</f>
        <v>0</v>
      </c>
      <c r="AG54" s="12">
        <f>IF(AG23&lt;$C$6,AF54,0)</f>
        <v>0</v>
      </c>
      <c r="AH54" s="12">
        <f>IF(AH23&lt;$C$6,AG54,0)</f>
        <v>0</v>
      </c>
      <c r="AI54" s="12">
        <f>IF(AI23&lt;$C$6,AH54,0)</f>
        <v>0</v>
      </c>
    </row>
    <row r="55" spans="2:36" x14ac:dyDescent="0.25">
      <c r="C55" s="2"/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2:36" x14ac:dyDescent="0.25">
      <c r="B56" t="s">
        <v>16</v>
      </c>
      <c r="C56" s="2"/>
      <c r="D56" s="6">
        <f>D39-D54</f>
        <v>113706.96080257736</v>
      </c>
      <c r="E56" s="6">
        <f t="shared" ref="E56:AI56" si="10">E39-E54</f>
        <v>111706.55612257002</v>
      </c>
      <c r="F56" s="6">
        <f t="shared" si="10"/>
        <v>109556.62119273213</v>
      </c>
      <c r="G56" s="6">
        <f t="shared" si="10"/>
        <v>107245.97862688884</v>
      </c>
      <c r="H56" s="6">
        <f t="shared" si="10"/>
        <v>104762.61552924878</v>
      </c>
      <c r="I56" s="6">
        <f t="shared" si="10"/>
        <v>102093.62104006014</v>
      </c>
      <c r="J56" s="6">
        <f t="shared" si="10"/>
        <v>99225.119212804639</v>
      </c>
      <c r="K56" s="6">
        <f t="shared" si="10"/>
        <v>96142.196873961788</v>
      </c>
      <c r="L56" s="6">
        <f t="shared" si="10"/>
        <v>92828.826090290429</v>
      </c>
      <c r="M56" s="6">
        <f t="shared" si="10"/>
        <v>89267.78084053965</v>
      </c>
      <c r="N56" s="6">
        <f t="shared" si="10"/>
        <v>85440.547458369983</v>
      </c>
      <c r="O56" s="6">
        <f t="shared" si="10"/>
        <v>81327.228380883142</v>
      </c>
      <c r="P56" s="6">
        <f t="shared" si="10"/>
        <v>76906.438702354164</v>
      </c>
      <c r="Q56" s="6">
        <f t="shared" si="10"/>
        <v>72155.194995355138</v>
      </c>
      <c r="R56" s="6">
        <f t="shared" si="10"/>
        <v>67048.795821257925</v>
      </c>
      <c r="S56" s="6">
        <f t="shared" si="10"/>
        <v>61560.693308896967</v>
      </c>
      <c r="T56" s="6">
        <f t="shared" si="10"/>
        <v>55662.355133737015</v>
      </c>
      <c r="U56" s="6">
        <f t="shared" si="10"/>
        <v>49323.116179983859</v>
      </c>
      <c r="V56" s="6">
        <f t="shared" si="10"/>
        <v>42510.019114437651</v>
      </c>
      <c r="W56" s="6">
        <f t="shared" si="10"/>
        <v>35187.643043241864</v>
      </c>
      <c r="X56" s="6">
        <f t="shared" si="10"/>
        <v>27317.919360724198</v>
      </c>
      <c r="Y56" s="6">
        <f t="shared" si="10"/>
        <v>18859.933832938332</v>
      </c>
      <c r="Z56" s="6">
        <f t="shared" si="10"/>
        <v>9769.7138869504743</v>
      </c>
      <c r="AA56" s="6">
        <f t="shared" si="10"/>
        <v>2.1827872842550278E-11</v>
      </c>
      <c r="AB56" s="6">
        <f t="shared" si="10"/>
        <v>2.3459506337530908E-11</v>
      </c>
      <c r="AC56" s="6">
        <f t="shared" si="10"/>
        <v>2.5213104436261344E-11</v>
      </c>
      <c r="AD56" s="6">
        <f t="shared" si="10"/>
        <v>2.709778399287188E-11</v>
      </c>
      <c r="AE56" s="6">
        <f t="shared" si="10"/>
        <v>2.9123343346339052E-11</v>
      </c>
      <c r="AF56" s="6">
        <f t="shared" si="10"/>
        <v>3.1300313261477896E-11</v>
      </c>
      <c r="AG56" s="6">
        <f t="shared" si="10"/>
        <v>3.3640011677773363E-11</v>
      </c>
      <c r="AH56" s="6">
        <f t="shared" si="10"/>
        <v>3.6154602550686924E-11</v>
      </c>
      <c r="AI56" s="6">
        <f t="shared" si="10"/>
        <v>3.8857159091350774E-11</v>
      </c>
    </row>
    <row r="57" spans="2:36" x14ac:dyDescent="0.25">
      <c r="B57" t="s">
        <v>11</v>
      </c>
      <c r="D57" s="9">
        <f>C16</f>
        <v>0.03</v>
      </c>
      <c r="E57" s="1">
        <f>D57</f>
        <v>0.03</v>
      </c>
      <c r="F57" s="1">
        <f t="shared" ref="F57:AI57" si="11">E57</f>
        <v>0.03</v>
      </c>
      <c r="G57" s="1">
        <f t="shared" si="11"/>
        <v>0.03</v>
      </c>
      <c r="H57" s="1">
        <f t="shared" si="11"/>
        <v>0.03</v>
      </c>
      <c r="I57" s="1">
        <f t="shared" si="11"/>
        <v>0.03</v>
      </c>
      <c r="J57" s="1">
        <f t="shared" si="11"/>
        <v>0.03</v>
      </c>
      <c r="K57" s="1">
        <f t="shared" si="11"/>
        <v>0.03</v>
      </c>
      <c r="L57" s="1">
        <f t="shared" si="11"/>
        <v>0.03</v>
      </c>
      <c r="M57" s="1">
        <f t="shared" si="11"/>
        <v>0.03</v>
      </c>
      <c r="N57" s="1">
        <f t="shared" si="11"/>
        <v>0.03</v>
      </c>
      <c r="O57" s="1">
        <f t="shared" si="11"/>
        <v>0.03</v>
      </c>
      <c r="P57" s="1">
        <f t="shared" si="11"/>
        <v>0.03</v>
      </c>
      <c r="Q57" s="1">
        <f t="shared" si="11"/>
        <v>0.03</v>
      </c>
      <c r="R57" s="1">
        <f t="shared" si="11"/>
        <v>0.03</v>
      </c>
      <c r="S57" s="1">
        <f t="shared" si="11"/>
        <v>0.03</v>
      </c>
      <c r="T57" s="1">
        <f t="shared" si="11"/>
        <v>0.03</v>
      </c>
      <c r="U57" s="1">
        <f t="shared" si="11"/>
        <v>0.03</v>
      </c>
      <c r="V57" s="1">
        <f t="shared" si="11"/>
        <v>0.03</v>
      </c>
      <c r="W57" s="1">
        <f t="shared" si="11"/>
        <v>0.03</v>
      </c>
      <c r="X57" s="1">
        <f t="shared" si="11"/>
        <v>0.03</v>
      </c>
      <c r="Y57" s="1">
        <f t="shared" si="11"/>
        <v>0.03</v>
      </c>
      <c r="Z57" s="1">
        <f t="shared" si="11"/>
        <v>0.03</v>
      </c>
      <c r="AA57" s="1">
        <f t="shared" si="11"/>
        <v>0.03</v>
      </c>
      <c r="AB57" s="1">
        <f t="shared" si="11"/>
        <v>0.03</v>
      </c>
      <c r="AC57" s="1">
        <f t="shared" si="11"/>
        <v>0.03</v>
      </c>
      <c r="AD57" s="1">
        <f t="shared" si="11"/>
        <v>0.03</v>
      </c>
      <c r="AE57" s="1">
        <f t="shared" si="11"/>
        <v>0.03</v>
      </c>
      <c r="AF57" s="1">
        <f t="shared" si="11"/>
        <v>0.03</v>
      </c>
      <c r="AG57" s="1">
        <f t="shared" si="11"/>
        <v>0.03</v>
      </c>
      <c r="AH57" s="1">
        <f t="shared" si="11"/>
        <v>0.03</v>
      </c>
      <c r="AI57" s="1">
        <f t="shared" si="11"/>
        <v>0.03</v>
      </c>
    </row>
    <row r="58" spans="2:36" x14ac:dyDescent="0.25">
      <c r="B58" s="11"/>
      <c r="C58" s="1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2:36" x14ac:dyDescent="0.25">
      <c r="B59" s="11" t="s">
        <v>14</v>
      </c>
      <c r="C59" s="11"/>
      <c r="D59" s="9">
        <f>C15</f>
        <v>1.0999999999999999E-2</v>
      </c>
      <c r="E59" s="1">
        <f>D59</f>
        <v>1.0999999999999999E-2</v>
      </c>
      <c r="F59" s="1">
        <f t="shared" ref="F59:AI59" si="12">E59</f>
        <v>1.0999999999999999E-2</v>
      </c>
      <c r="G59" s="1">
        <f t="shared" si="12"/>
        <v>1.0999999999999999E-2</v>
      </c>
      <c r="H59" s="1">
        <f t="shared" si="12"/>
        <v>1.0999999999999999E-2</v>
      </c>
      <c r="I59" s="1">
        <f t="shared" si="12"/>
        <v>1.0999999999999999E-2</v>
      </c>
      <c r="J59" s="1">
        <f t="shared" si="12"/>
        <v>1.0999999999999999E-2</v>
      </c>
      <c r="K59" s="1">
        <f t="shared" si="12"/>
        <v>1.0999999999999999E-2</v>
      </c>
      <c r="L59" s="1">
        <f t="shared" si="12"/>
        <v>1.0999999999999999E-2</v>
      </c>
      <c r="M59" s="1">
        <f t="shared" si="12"/>
        <v>1.0999999999999999E-2</v>
      </c>
      <c r="N59" s="1">
        <f t="shared" si="12"/>
        <v>1.0999999999999999E-2</v>
      </c>
      <c r="O59" s="1">
        <f t="shared" si="12"/>
        <v>1.0999999999999999E-2</v>
      </c>
      <c r="P59" s="1">
        <f t="shared" si="12"/>
        <v>1.0999999999999999E-2</v>
      </c>
      <c r="Q59" s="1">
        <f t="shared" si="12"/>
        <v>1.0999999999999999E-2</v>
      </c>
      <c r="R59" s="1">
        <f t="shared" si="12"/>
        <v>1.0999999999999999E-2</v>
      </c>
      <c r="S59" s="1">
        <f t="shared" si="12"/>
        <v>1.0999999999999999E-2</v>
      </c>
      <c r="T59" s="1">
        <f t="shared" si="12"/>
        <v>1.0999999999999999E-2</v>
      </c>
      <c r="U59" s="1">
        <f t="shared" si="12"/>
        <v>1.0999999999999999E-2</v>
      </c>
      <c r="V59" s="1">
        <f t="shared" si="12"/>
        <v>1.0999999999999999E-2</v>
      </c>
      <c r="W59" s="1">
        <f t="shared" si="12"/>
        <v>1.0999999999999999E-2</v>
      </c>
      <c r="X59" s="1">
        <f t="shared" si="12"/>
        <v>1.0999999999999999E-2</v>
      </c>
      <c r="Y59" s="1">
        <f t="shared" si="12"/>
        <v>1.0999999999999999E-2</v>
      </c>
      <c r="Z59" s="1">
        <f t="shared" si="12"/>
        <v>1.0999999999999999E-2</v>
      </c>
      <c r="AA59" s="1">
        <f t="shared" si="12"/>
        <v>1.0999999999999999E-2</v>
      </c>
      <c r="AB59" s="1">
        <f t="shared" si="12"/>
        <v>1.0999999999999999E-2</v>
      </c>
      <c r="AC59" s="1">
        <f t="shared" si="12"/>
        <v>1.0999999999999999E-2</v>
      </c>
      <c r="AD59" s="1">
        <f t="shared" si="12"/>
        <v>1.0999999999999999E-2</v>
      </c>
      <c r="AE59" s="1">
        <f t="shared" si="12"/>
        <v>1.0999999999999999E-2</v>
      </c>
      <c r="AF59" s="1">
        <f t="shared" si="12"/>
        <v>1.0999999999999999E-2</v>
      </c>
      <c r="AG59" s="1">
        <f t="shared" si="12"/>
        <v>1.0999999999999999E-2</v>
      </c>
      <c r="AH59" s="1">
        <f t="shared" si="12"/>
        <v>1.0999999999999999E-2</v>
      </c>
      <c r="AI59" s="1">
        <f t="shared" si="12"/>
        <v>1.0999999999999999E-2</v>
      </c>
    </row>
    <row r="60" spans="2:36" x14ac:dyDescent="0.25">
      <c r="B60" s="11" t="s">
        <v>15</v>
      </c>
      <c r="D60" s="2">
        <f>IF((D59*D29)&lt;0,0,(D59*D29))</f>
        <v>1271.2505874187959</v>
      </c>
      <c r="E60" s="2">
        <f>IF((E59*E29)&lt;0,0,(E59*E29))</f>
        <v>1250.7765688283509</v>
      </c>
      <c r="F60" s="2">
        <f>IF((F59*F29)&lt;0,0,(F59*F29))</f>
        <v>1228.7721173482703</v>
      </c>
      <c r="G60" s="2">
        <f>IF((G59*G29)&lt;0,0,(G59*G29))</f>
        <v>1205.1228331200534</v>
      </c>
      <c r="H60" s="2">
        <f>IF((H59*H29)&lt;0,0,(H59*H29))</f>
        <v>1179.7057648957773</v>
      </c>
      <c r="I60" s="2">
        <f>IF((I59*I29)&lt;0,0,(I59*I29))</f>
        <v>1152.3887708217364</v>
      </c>
      <c r="J60" s="2">
        <f>IF((J59*J29)&lt;0,0,(J59*J29))</f>
        <v>1123.0298314406614</v>
      </c>
      <c r="K60" s="2">
        <f>IF((K59*K29)&lt;0,0,(K59*K29))</f>
        <v>1091.476311340851</v>
      </c>
      <c r="L60" s="2">
        <f>IF((L59*L29)&lt;0,0,(L59*L29))</f>
        <v>1057.5641656135797</v>
      </c>
      <c r="M60" s="2">
        <f>IF((M59*M29)&lt;0,0,(M59*M29))</f>
        <v>1021.1170869931947</v>
      </c>
      <c r="N60" s="2">
        <f>IF((N59*N29)&lt;0,0,(N59*N29))</f>
        <v>981.94558924593605</v>
      </c>
      <c r="O60" s="2">
        <f>IF((O59*O29)&lt;0,0,(O59*O29))</f>
        <v>939.84602204206976</v>
      </c>
      <c r="P60" s="2">
        <f>IF((P59*P29)&lt;0,0,(P59*P29))</f>
        <v>894.59951218971446</v>
      </c>
      <c r="Q60" s="2">
        <f>IF((Q59*Q29)&lt;0,0,(Q59*Q29))</f>
        <v>845.97082572589579</v>
      </c>
      <c r="R60" s="2">
        <f>IF((R59*R29)&lt;0,0,(R59*R29))</f>
        <v>793.70714494890649</v>
      </c>
      <c r="S60" s="2">
        <f>IF((S59*S29)&lt;0,0,(S59*S29))</f>
        <v>737.53675403383716</v>
      </c>
      <c r="T60" s="2">
        <f>IF((T59*T29)&lt;0,0,(T59*T29))</f>
        <v>677.16762639786657</v>
      </c>
      <c r="U60" s="2">
        <f>IF((U59*U29)&lt;0,0,(U59*U29))</f>
        <v>612.28590647110718</v>
      </c>
      <c r="V60" s="2">
        <f>IF((V59*V29)&lt;0,0,(V59*V29))</f>
        <v>542.55427797982247</v>
      </c>
      <c r="W60" s="2">
        <f>IF((W59*W29)&lt;0,0,(W59*W29))</f>
        <v>467.61021025881416</v>
      </c>
      <c r="X60" s="2">
        <f>IF((X59*X29)&lt;0,0,(X59*X29))</f>
        <v>387.06407347566051</v>
      </c>
      <c r="Y60" s="2">
        <f>IF((Y59*Y29)&lt;0,0,(Y59*Y29))</f>
        <v>300.49711296796613</v>
      </c>
      <c r="Z60" s="2">
        <f>IF((Z59*Z29)&lt;0,0,(Z59*Z29))</f>
        <v>207.45927216232164</v>
      </c>
      <c r="AA60" s="2">
        <f>IF((AA59*AA29)&lt;0,0,(AA59*AA29))</f>
        <v>107.46685275645521</v>
      </c>
      <c r="AB60" s="2">
        <f>IF((AB59*AB29)&lt;0,0,(AB59*AB29))</f>
        <v>2.4010660126805307E-13</v>
      </c>
      <c r="AC60" s="2">
        <f>IF((AC59*AC29)&lt;0,0,(AC59*AC29))</f>
        <v>2.5805456971283996E-13</v>
      </c>
      <c r="AD60" s="2">
        <f>IF((AD59*AD29)&lt;0,0,(AD59*AD29))</f>
        <v>2.7734414879887476E-13</v>
      </c>
      <c r="AE60" s="2">
        <f>IF((AE59*AE29)&lt;0,0,(AE59*AE29))</f>
        <v>2.9807562392159067E-13</v>
      </c>
      <c r="AF60" s="2">
        <f>IF((AF59*AF29)&lt;0,0,(AF59*AF29))</f>
        <v>3.2035677680972953E-13</v>
      </c>
      <c r="AG60" s="2">
        <f>IF((AG59*AG29)&lt;0,0,(AG59*AG29))</f>
        <v>3.4430344587625683E-13</v>
      </c>
      <c r="AH60" s="2">
        <f>IF((AH59*AH29)&lt;0,0,(AH59*AH29))</f>
        <v>3.7004012845550695E-13</v>
      </c>
      <c r="AI60" s="2">
        <f>IF((AI59*AI29)&lt;0,0,(AI59*AI29))</f>
        <v>3.9770062805755612E-13</v>
      </c>
      <c r="AJ60" s="4" t="e">
        <f>AI60/AI62</f>
        <v>#DIV/0!</v>
      </c>
    </row>
    <row r="61" spans="2:36" x14ac:dyDescent="0.25">
      <c r="B61" s="11"/>
    </row>
    <row r="62" spans="2:36" x14ac:dyDescent="0.25">
      <c r="B62" t="s">
        <v>17</v>
      </c>
      <c r="D62" s="3">
        <f>IF(D23&lt;=$C$66,(D56+D60),0)</f>
        <v>0</v>
      </c>
      <c r="E62" s="3">
        <f>IF(E23&lt;=$C$66,(E56+E60),0)</f>
        <v>0</v>
      </c>
      <c r="F62" s="3">
        <f>IF(F23&lt;=$C$66,(F56+F60),0)</f>
        <v>0</v>
      </c>
      <c r="G62" s="3">
        <f>IF(G23&lt;=$C$66,(G56+G60),0)</f>
        <v>0</v>
      </c>
      <c r="H62" s="3">
        <f>IF(H23&lt;=$C$66,(H56+H60),0)</f>
        <v>0</v>
      </c>
      <c r="I62" s="3">
        <f>IF(I23&lt;=$C$66,(I56+I60),0)</f>
        <v>0</v>
      </c>
      <c r="J62" s="3">
        <f>IF(J23&lt;=$C$66,(J56+J60),0)</f>
        <v>0</v>
      </c>
      <c r="K62" s="3">
        <f>IF(K23&lt;=$C$66,(K56+K60),0)</f>
        <v>0</v>
      </c>
      <c r="L62" s="3">
        <f>IF(L23&lt;=$C$66,(L56+L60),0)</f>
        <v>0</v>
      </c>
      <c r="M62" s="3">
        <f>IF(M23&lt;=$C$66,(M56+M60),0)</f>
        <v>0</v>
      </c>
      <c r="N62" s="3">
        <f>IF(N23&lt;=$C$66,(N56+N60),0)</f>
        <v>0</v>
      </c>
      <c r="O62" s="3">
        <f>IF(O23&lt;=$C$66,(O56+O60),0)</f>
        <v>0</v>
      </c>
      <c r="P62" s="3">
        <f>IF(P23&lt;=$C$66,(P56+P60),0)</f>
        <v>0</v>
      </c>
      <c r="Q62" s="3">
        <f>IF(Q23&lt;=$C$66,(Q56+Q60),0)</f>
        <v>0</v>
      </c>
      <c r="R62" s="3">
        <f>IF(R23&lt;=$C$66,(R56+R60),0)</f>
        <v>0</v>
      </c>
      <c r="S62" s="3">
        <f>IF(S23&lt;=$C$66,(S56+S60),0)</f>
        <v>0</v>
      </c>
      <c r="T62" s="3">
        <f>IF(T23&lt;=$C$66,(T56+T60),0)</f>
        <v>0</v>
      </c>
      <c r="U62" s="3">
        <f>IF(U23&lt;=$C$66,(U56+U60),0)</f>
        <v>0</v>
      </c>
      <c r="V62" s="3">
        <f>IF(V23&lt;=$C$66,(V56+V60),0)</f>
        <v>0</v>
      </c>
      <c r="W62" s="3">
        <f>IF(W23&lt;=$C$66,(W56+W60),0)</f>
        <v>0</v>
      </c>
      <c r="X62" s="3">
        <f>IF(X23&lt;=$C$66,(X56+X60),0)</f>
        <v>0</v>
      </c>
      <c r="Y62" s="3">
        <f>IF(Y23&lt;=$C$66,(Y56+Y60),0)</f>
        <v>0</v>
      </c>
      <c r="Z62" s="3">
        <f>IF(Z23&lt;=$C$66,(Z56+Z60),0)</f>
        <v>0</v>
      </c>
      <c r="AA62" s="3">
        <f>IF(AA23&lt;=$C$66,(AA56+AA60),0)</f>
        <v>0</v>
      </c>
      <c r="AB62" s="3">
        <f>IF(AB23&lt;=$C$66,(AB56+AB60),0)</f>
        <v>0</v>
      </c>
      <c r="AC62" s="3">
        <f>IF(AC23&lt;=$C$66,(AC56+AC60),0)</f>
        <v>0</v>
      </c>
      <c r="AD62" s="3">
        <f>IF(AD23&lt;=$C$66,(AD56+AD60),0)</f>
        <v>0</v>
      </c>
      <c r="AE62" s="3">
        <f>IF(AE23&lt;=$C$66,(AE56+AE60),0)</f>
        <v>0</v>
      </c>
      <c r="AF62" s="3">
        <f>IF(AF23&lt;=$C$66,(AF56+AF60),0)</f>
        <v>0</v>
      </c>
      <c r="AG62" s="3">
        <f>IF(AG23&lt;=$C$66,(AG56+AG60),0)</f>
        <v>0</v>
      </c>
      <c r="AH62" s="3">
        <f>IF(AH23&lt;=$C$66,(AH56+AH60),0)</f>
        <v>0</v>
      </c>
      <c r="AI62" s="3">
        <f>IF(AI23&lt;=$C$66,(AI56+AI60),0)</f>
        <v>0</v>
      </c>
    </row>
    <row r="63" spans="2:36" x14ac:dyDescent="0.25">
      <c r="B63" s="11"/>
    </row>
    <row r="64" spans="2:36" x14ac:dyDescent="0.25">
      <c r="B64" t="s">
        <v>10</v>
      </c>
      <c r="D64" s="3">
        <f>D39-D56</f>
        <v>10500</v>
      </c>
      <c r="E64" s="3">
        <f>E39-E56</f>
        <v>10500</v>
      </c>
      <c r="F64" s="3">
        <f>F39-F56</f>
        <v>10500</v>
      </c>
      <c r="G64" s="3">
        <f>G39-G56</f>
        <v>10500</v>
      </c>
      <c r="H64" s="3">
        <f>H39-H56</f>
        <v>10500</v>
      </c>
      <c r="I64" s="3">
        <f>I39-I56</f>
        <v>10500</v>
      </c>
      <c r="J64" s="3">
        <f>J39-J56</f>
        <v>10500</v>
      </c>
      <c r="K64" s="3">
        <f>K39-K56</f>
        <v>10500</v>
      </c>
      <c r="L64" s="3">
        <f>L39-L56</f>
        <v>10500</v>
      </c>
      <c r="M64" s="3">
        <f>M39-M56</f>
        <v>10500</v>
      </c>
      <c r="N64" s="3">
        <f>N39-N56</f>
        <v>10500</v>
      </c>
      <c r="O64" s="3">
        <f>O39-O56</f>
        <v>10500</v>
      </c>
      <c r="P64" s="3">
        <f>P39-P56</f>
        <v>10500</v>
      </c>
      <c r="Q64" s="3">
        <f>Q39-Q56</f>
        <v>10500</v>
      </c>
      <c r="R64" s="3">
        <f>R39-R56</f>
        <v>10500</v>
      </c>
      <c r="S64" s="3">
        <f>S39-S56</f>
        <v>10500</v>
      </c>
      <c r="T64" s="3">
        <f>T39-T56</f>
        <v>10500</v>
      </c>
      <c r="U64" s="3">
        <f>U39-U56</f>
        <v>10500</v>
      </c>
      <c r="V64" s="3">
        <f>V39-V56</f>
        <v>10500</v>
      </c>
      <c r="W64" s="3">
        <f>W39-W56</f>
        <v>10500</v>
      </c>
      <c r="X64" s="3">
        <f>X39-X56</f>
        <v>10500</v>
      </c>
      <c r="Y64" s="3">
        <f>Y39-Y56</f>
        <v>10500</v>
      </c>
      <c r="Z64" s="3">
        <f>Z39-Z56</f>
        <v>10500</v>
      </c>
      <c r="AA64" s="3">
        <f>AA39-AA56</f>
        <v>10500</v>
      </c>
      <c r="AB64" s="3">
        <f>AB39-AB56</f>
        <v>0</v>
      </c>
      <c r="AC64" s="3">
        <f>AC39-AC56</f>
        <v>0</v>
      </c>
      <c r="AD64" s="3">
        <f>AD39-AD56</f>
        <v>0</v>
      </c>
      <c r="AE64" s="3">
        <f>AE39-AE56</f>
        <v>0</v>
      </c>
      <c r="AF64" s="3">
        <f>AF39-AF56</f>
        <v>0</v>
      </c>
      <c r="AG64" s="3">
        <f>AG39-AG56</f>
        <v>0</v>
      </c>
      <c r="AH64" s="3">
        <f>AH39-AH56</f>
        <v>0</v>
      </c>
      <c r="AI64" s="3">
        <f>AI39-AI56</f>
        <v>0</v>
      </c>
    </row>
    <row r="66" spans="2:5" x14ac:dyDescent="0.25">
      <c r="B66" t="s">
        <v>37</v>
      </c>
      <c r="D66">
        <f>D23</f>
        <v>2026</v>
      </c>
    </row>
    <row r="67" spans="2:5" x14ac:dyDescent="0.25">
      <c r="B67" t="s">
        <v>38</v>
      </c>
      <c r="D67" s="8">
        <f>D29</f>
        <v>115568.23521989054</v>
      </c>
      <c r="E67" t="s">
        <v>39</v>
      </c>
    </row>
    <row r="68" spans="2:5" x14ac:dyDescent="0.25">
      <c r="B68" t="s">
        <v>40</v>
      </c>
    </row>
    <row r="69" spans="2:5" x14ac:dyDescent="0.25">
      <c r="B69" t="s">
        <v>23</v>
      </c>
      <c r="C69" s="11"/>
      <c r="D69" s="7" t="s">
        <v>33</v>
      </c>
      <c r="E69" t="s">
        <v>34</v>
      </c>
    </row>
    <row r="70" spans="2:5" x14ac:dyDescent="0.25">
      <c r="B70" t="s">
        <v>25</v>
      </c>
      <c r="C70" s="11"/>
      <c r="D70" s="11"/>
    </row>
    <row r="71" spans="2:5" x14ac:dyDescent="0.25">
      <c r="B71" t="s">
        <v>2</v>
      </c>
      <c r="C71" s="9"/>
      <c r="D71" s="5">
        <v>3.5000000000000003E-2</v>
      </c>
    </row>
    <row r="72" spans="2:5" x14ac:dyDescent="0.25">
      <c r="B72" t="s">
        <v>7</v>
      </c>
      <c r="C72" s="9"/>
      <c r="D72" s="5">
        <v>4.4999999999999998E-2</v>
      </c>
    </row>
    <row r="74" spans="2:5" x14ac:dyDescent="0.25">
      <c r="B74" s="7" t="s">
        <v>41</v>
      </c>
    </row>
    <row r="75" spans="2:5" s="11" customFormat="1" x14ac:dyDescent="0.25">
      <c r="B75" s="11" t="s">
        <v>35</v>
      </c>
      <c r="C75" s="11">
        <v>2026</v>
      </c>
    </row>
    <row r="76" spans="2:5" x14ac:dyDescent="0.25">
      <c r="B76" t="s">
        <v>12</v>
      </c>
      <c r="C76" s="7">
        <v>1</v>
      </c>
    </row>
    <row r="77" spans="2:5" x14ac:dyDescent="0.25">
      <c r="B77" t="s">
        <v>27</v>
      </c>
      <c r="C77" s="7">
        <v>5</v>
      </c>
    </row>
    <row r="78" spans="2:5" x14ac:dyDescent="0.25">
      <c r="B78" t="s">
        <v>13</v>
      </c>
      <c r="C78" s="11">
        <f>C75+C77</f>
        <v>2031</v>
      </c>
    </row>
    <row r="79" spans="2:5" x14ac:dyDescent="0.25">
      <c r="B79" t="s">
        <v>19</v>
      </c>
      <c r="C79" s="6">
        <v>65</v>
      </c>
    </row>
    <row r="80" spans="2:5" x14ac:dyDescent="0.25">
      <c r="B80" t="s">
        <v>20</v>
      </c>
      <c r="C80" s="6">
        <v>62</v>
      </c>
    </row>
    <row r="81" spans="2:13" x14ac:dyDescent="0.25">
      <c r="B81" t="s">
        <v>4</v>
      </c>
      <c r="C81" s="5">
        <v>0</v>
      </c>
    </row>
    <row r="82" spans="2:13" x14ac:dyDescent="0.25">
      <c r="B82" t="s">
        <v>18</v>
      </c>
      <c r="C82" s="5">
        <v>1.0999999999999999E-2</v>
      </c>
    </row>
    <row r="83" spans="2:13" x14ac:dyDescent="0.25">
      <c r="B83" t="s">
        <v>21</v>
      </c>
      <c r="C83" s="5">
        <v>0.03</v>
      </c>
    </row>
    <row r="84" spans="2:13" x14ac:dyDescent="0.25">
      <c r="C84" s="11"/>
    </row>
    <row r="85" spans="2:13" x14ac:dyDescent="0.25">
      <c r="B85" t="s">
        <v>23</v>
      </c>
      <c r="C85" s="7" t="str">
        <f>C18</f>
        <v>Balanced</v>
      </c>
      <c r="D85" t="s">
        <v>34</v>
      </c>
    </row>
    <row r="86" spans="2:13" x14ac:dyDescent="0.25">
      <c r="B86" t="s">
        <v>25</v>
      </c>
      <c r="C86" s="11"/>
    </row>
    <row r="87" spans="2:13" x14ac:dyDescent="0.25">
      <c r="B87" t="s">
        <v>2</v>
      </c>
      <c r="C87" s="5">
        <f>C20</f>
        <v>3.5000000000000003E-2</v>
      </c>
    </row>
    <row r="88" spans="2:13" x14ac:dyDescent="0.25">
      <c r="B88" t="s">
        <v>7</v>
      </c>
      <c r="C88" s="5">
        <f>C21</f>
        <v>4.4999999999999998E-2</v>
      </c>
    </row>
    <row r="90" spans="2:13" x14ac:dyDescent="0.25">
      <c r="B90" s="11" t="s">
        <v>28</v>
      </c>
      <c r="D90" s="11">
        <f>C75</f>
        <v>2026</v>
      </c>
      <c r="E90">
        <f>D90+1</f>
        <v>2027</v>
      </c>
      <c r="F90">
        <f t="shared" ref="F90:M93" si="13">E90+1</f>
        <v>2028</v>
      </c>
      <c r="G90">
        <f t="shared" si="13"/>
        <v>2029</v>
      </c>
      <c r="H90">
        <f t="shared" si="13"/>
        <v>2030</v>
      </c>
      <c r="I90">
        <f t="shared" si="13"/>
        <v>2031</v>
      </c>
      <c r="J90">
        <f t="shared" si="13"/>
        <v>2032</v>
      </c>
      <c r="K90">
        <f t="shared" si="13"/>
        <v>2033</v>
      </c>
      <c r="L90">
        <f t="shared" si="13"/>
        <v>2034</v>
      </c>
      <c r="M90">
        <f t="shared" si="13"/>
        <v>2035</v>
      </c>
    </row>
    <row r="91" spans="2:13" x14ac:dyDescent="0.25">
      <c r="B91" t="s">
        <v>3</v>
      </c>
      <c r="D91">
        <v>0</v>
      </c>
      <c r="E91">
        <f>D91+1</f>
        <v>1</v>
      </c>
      <c r="F91">
        <f t="shared" si="13"/>
        <v>2</v>
      </c>
      <c r="G91">
        <f t="shared" si="13"/>
        <v>3</v>
      </c>
      <c r="H91">
        <f t="shared" si="13"/>
        <v>4</v>
      </c>
      <c r="I91">
        <f t="shared" si="13"/>
        <v>5</v>
      </c>
      <c r="J91">
        <f t="shared" si="13"/>
        <v>6</v>
      </c>
      <c r="K91">
        <f t="shared" si="13"/>
        <v>7</v>
      </c>
      <c r="L91">
        <f t="shared" si="13"/>
        <v>8</v>
      </c>
      <c r="M91" s="7">
        <f t="shared" si="13"/>
        <v>9</v>
      </c>
    </row>
    <row r="92" spans="2:13" x14ac:dyDescent="0.25">
      <c r="B92" t="s">
        <v>19</v>
      </c>
      <c r="D92" s="3">
        <f>C79</f>
        <v>65</v>
      </c>
      <c r="E92" s="3">
        <f>D92+1</f>
        <v>66</v>
      </c>
      <c r="F92" s="3">
        <f t="shared" si="13"/>
        <v>67</v>
      </c>
      <c r="G92" s="3">
        <f t="shared" si="13"/>
        <v>68</v>
      </c>
      <c r="H92" s="3">
        <f t="shared" si="13"/>
        <v>69</v>
      </c>
      <c r="I92" s="3">
        <f t="shared" si="13"/>
        <v>70</v>
      </c>
      <c r="J92" s="3">
        <f t="shared" si="13"/>
        <v>71</v>
      </c>
      <c r="K92" s="3">
        <f t="shared" si="13"/>
        <v>72</v>
      </c>
      <c r="L92" s="3">
        <f t="shared" si="13"/>
        <v>73</v>
      </c>
      <c r="M92" s="3">
        <f t="shared" si="13"/>
        <v>74</v>
      </c>
    </row>
    <row r="93" spans="2:13" x14ac:dyDescent="0.25">
      <c r="B93" t="s">
        <v>20</v>
      </c>
      <c r="D93" s="3">
        <f>C80</f>
        <v>62</v>
      </c>
      <c r="E93" s="3">
        <f>D93+1</f>
        <v>63</v>
      </c>
      <c r="F93" s="3">
        <f t="shared" si="13"/>
        <v>64</v>
      </c>
      <c r="G93" s="3">
        <f t="shared" si="13"/>
        <v>65</v>
      </c>
      <c r="H93" s="3">
        <f t="shared" si="13"/>
        <v>66</v>
      </c>
      <c r="I93" s="3">
        <f t="shared" si="13"/>
        <v>67</v>
      </c>
      <c r="J93" s="3">
        <f t="shared" si="13"/>
        <v>68</v>
      </c>
      <c r="K93" s="3">
        <f t="shared" si="13"/>
        <v>69</v>
      </c>
      <c r="L93" s="3">
        <f t="shared" si="13"/>
        <v>70</v>
      </c>
      <c r="M93" s="3">
        <f t="shared" si="13"/>
        <v>71</v>
      </c>
    </row>
    <row r="94" spans="2:13" x14ac:dyDescent="0.25">
      <c r="M94" s="7"/>
    </row>
    <row r="96" spans="2:13" x14ac:dyDescent="0.25">
      <c r="B96" t="s">
        <v>0</v>
      </c>
      <c r="D96" s="13">
        <v>475000</v>
      </c>
      <c r="E96" s="8">
        <f>D106-D114</f>
        <v>507775</v>
      </c>
      <c r="F96" s="8">
        <f t="shared" ref="F96:M96" si="14">E106-E114</f>
        <v>542811.47499999998</v>
      </c>
      <c r="G96" s="8">
        <f t="shared" si="14"/>
        <v>580265.4667750001</v>
      </c>
      <c r="H96" s="8">
        <f t="shared" si="14"/>
        <v>620303.78398247506</v>
      </c>
      <c r="I96" s="8">
        <f t="shared" si="14"/>
        <v>663104.74507726589</v>
      </c>
      <c r="J96" s="8">
        <f t="shared" si="14"/>
        <v>708858.97248759726</v>
      </c>
      <c r="K96" s="8">
        <f t="shared" si="14"/>
        <v>757770.24158924143</v>
      </c>
      <c r="L96" s="8">
        <f t="shared" si="14"/>
        <v>810056.3882588991</v>
      </c>
      <c r="M96" s="8">
        <f t="shared" si="14"/>
        <v>865950.2790487631</v>
      </c>
    </row>
    <row r="97" spans="2:36" x14ac:dyDescent="0.25">
      <c r="B97" t="s">
        <v>2</v>
      </c>
      <c r="D97" s="9">
        <f>C87</f>
        <v>3.5000000000000003E-2</v>
      </c>
      <c r="E97" s="1">
        <f>D97</f>
        <v>3.5000000000000003E-2</v>
      </c>
      <c r="F97" s="1">
        <f t="shared" ref="F97:M97" si="15">E97</f>
        <v>3.5000000000000003E-2</v>
      </c>
      <c r="G97" s="1">
        <f t="shared" si="15"/>
        <v>3.5000000000000003E-2</v>
      </c>
      <c r="H97" s="1">
        <f t="shared" si="15"/>
        <v>3.5000000000000003E-2</v>
      </c>
      <c r="I97" s="1">
        <f t="shared" si="15"/>
        <v>3.5000000000000003E-2</v>
      </c>
      <c r="J97" s="1">
        <f t="shared" si="15"/>
        <v>3.5000000000000003E-2</v>
      </c>
      <c r="K97" s="1">
        <f t="shared" si="15"/>
        <v>3.5000000000000003E-2</v>
      </c>
      <c r="L97" s="1">
        <f t="shared" si="15"/>
        <v>3.5000000000000003E-2</v>
      </c>
      <c r="M97" s="1">
        <f t="shared" si="15"/>
        <v>3.5000000000000003E-2</v>
      </c>
    </row>
    <row r="98" spans="2:36" x14ac:dyDescent="0.25">
      <c r="B98" t="s">
        <v>1</v>
      </c>
      <c r="D98" s="10">
        <f>D96*D97</f>
        <v>16625</v>
      </c>
      <c r="E98" s="3">
        <f t="shared" ref="E98:M98" si="16">E96*E97</f>
        <v>17772.125</v>
      </c>
      <c r="F98" s="3">
        <f t="shared" si="16"/>
        <v>18998.401625000002</v>
      </c>
      <c r="G98" s="3">
        <f t="shared" si="16"/>
        <v>20309.291337125007</v>
      </c>
      <c r="H98" s="3">
        <f t="shared" si="16"/>
        <v>21710.632439386631</v>
      </c>
      <c r="I98" s="3">
        <f t="shared" si="16"/>
        <v>23208.666077704307</v>
      </c>
      <c r="J98" s="3">
        <f t="shared" si="16"/>
        <v>24810.064037065906</v>
      </c>
      <c r="K98" s="3">
        <f t="shared" si="16"/>
        <v>26521.958455623451</v>
      </c>
      <c r="L98" s="3">
        <f t="shared" si="16"/>
        <v>28351.973589061472</v>
      </c>
      <c r="M98" s="3">
        <f t="shared" si="16"/>
        <v>30308.259766706713</v>
      </c>
    </row>
    <row r="99" spans="2:36" x14ac:dyDescent="0.25">
      <c r="B99" t="s">
        <v>4</v>
      </c>
      <c r="D99" s="9">
        <f>C81</f>
        <v>0</v>
      </c>
      <c r="E99" s="4">
        <f>D99</f>
        <v>0</v>
      </c>
      <c r="F99" s="4">
        <f t="shared" ref="F99:M99" si="17">E99</f>
        <v>0</v>
      </c>
      <c r="G99" s="4">
        <f t="shared" si="17"/>
        <v>0</v>
      </c>
      <c r="H99" s="4">
        <f t="shared" si="17"/>
        <v>0</v>
      </c>
      <c r="I99" s="4">
        <f t="shared" si="17"/>
        <v>0</v>
      </c>
      <c r="J99" s="4">
        <f t="shared" si="17"/>
        <v>0</v>
      </c>
      <c r="K99" s="4">
        <f t="shared" si="17"/>
        <v>0</v>
      </c>
      <c r="L99" s="4">
        <f t="shared" si="17"/>
        <v>0</v>
      </c>
      <c r="M99" s="4">
        <f t="shared" si="17"/>
        <v>0</v>
      </c>
    </row>
    <row r="100" spans="2:36" x14ac:dyDescent="0.25">
      <c r="B100" t="s">
        <v>5</v>
      </c>
      <c r="D100" s="10">
        <f>IF((D98*D99)&lt;0,0,(D98*D99))</f>
        <v>0</v>
      </c>
      <c r="E100" s="10">
        <f t="shared" ref="E100:M100" si="18">IF((E98*E99)&lt;0,0,(E98*E99))</f>
        <v>0</v>
      </c>
      <c r="F100" s="10">
        <f t="shared" si="18"/>
        <v>0</v>
      </c>
      <c r="G100" s="10">
        <f t="shared" si="18"/>
        <v>0</v>
      </c>
      <c r="H100" s="10">
        <f t="shared" si="18"/>
        <v>0</v>
      </c>
      <c r="I100" s="10">
        <f t="shared" si="18"/>
        <v>0</v>
      </c>
      <c r="J100" s="10">
        <f t="shared" si="18"/>
        <v>0</v>
      </c>
      <c r="K100" s="10">
        <f t="shared" si="18"/>
        <v>0</v>
      </c>
      <c r="L100" s="10">
        <f t="shared" si="18"/>
        <v>0</v>
      </c>
      <c r="M100" s="10">
        <f t="shared" si="18"/>
        <v>0</v>
      </c>
      <c r="AI100" s="3">
        <f>SUM(D100:N100)</f>
        <v>0</v>
      </c>
    </row>
    <row r="101" spans="2:36" x14ac:dyDescent="0.25">
      <c r="B101" t="s">
        <v>6</v>
      </c>
      <c r="D101" s="10">
        <f>IF((D98-D100)&lt;0,0,(D98-D100))</f>
        <v>16625</v>
      </c>
      <c r="E101" s="10">
        <f t="shared" ref="E101:M101" si="19">IF((E98-E100)&lt;0,0,(E98-E100))</f>
        <v>17772.125</v>
      </c>
      <c r="F101" s="10">
        <f t="shared" si="19"/>
        <v>18998.401625000002</v>
      </c>
      <c r="G101" s="10">
        <f t="shared" si="19"/>
        <v>20309.291337125007</v>
      </c>
      <c r="H101" s="10">
        <f t="shared" si="19"/>
        <v>21710.632439386631</v>
      </c>
      <c r="I101" s="10">
        <f t="shared" si="19"/>
        <v>23208.666077704307</v>
      </c>
      <c r="J101" s="10">
        <f t="shared" si="19"/>
        <v>24810.064037065906</v>
      </c>
      <c r="K101" s="10">
        <f t="shared" si="19"/>
        <v>26521.958455623451</v>
      </c>
      <c r="L101" s="10">
        <f t="shared" si="19"/>
        <v>28351.973589061472</v>
      </c>
      <c r="M101" s="10">
        <f t="shared" si="19"/>
        <v>30308.259766706713</v>
      </c>
      <c r="AI101" s="3">
        <f>SUM(D101:N101)</f>
        <v>228616.37232767345</v>
      </c>
    </row>
    <row r="102" spans="2:36" x14ac:dyDescent="0.25">
      <c r="D102" s="11"/>
      <c r="AI102" s="3"/>
    </row>
    <row r="103" spans="2:36" x14ac:dyDescent="0.25">
      <c r="B103" t="s">
        <v>7</v>
      </c>
      <c r="D103" s="9">
        <f>C88</f>
        <v>4.4999999999999998E-2</v>
      </c>
      <c r="E103" s="1">
        <f>D103</f>
        <v>4.4999999999999998E-2</v>
      </c>
      <c r="F103" s="1">
        <f t="shared" ref="F103:M103" si="20">E103</f>
        <v>4.4999999999999998E-2</v>
      </c>
      <c r="G103" s="1">
        <f t="shared" si="20"/>
        <v>4.4999999999999998E-2</v>
      </c>
      <c r="H103" s="1">
        <f t="shared" si="20"/>
        <v>4.4999999999999998E-2</v>
      </c>
      <c r="I103" s="1">
        <f t="shared" si="20"/>
        <v>4.4999999999999998E-2</v>
      </c>
      <c r="J103" s="1">
        <f t="shared" si="20"/>
        <v>4.4999999999999998E-2</v>
      </c>
      <c r="K103" s="1">
        <f t="shared" si="20"/>
        <v>4.4999999999999998E-2</v>
      </c>
      <c r="L103" s="1">
        <f t="shared" si="20"/>
        <v>4.4999999999999998E-2</v>
      </c>
      <c r="M103" s="1">
        <f t="shared" si="20"/>
        <v>4.4999999999999998E-2</v>
      </c>
    </row>
    <row r="104" spans="2:36" x14ac:dyDescent="0.25">
      <c r="B104" t="s">
        <v>8</v>
      </c>
      <c r="D104" s="10">
        <f>IF((D103*D96)&lt;0,0,(D103*D96))</f>
        <v>21375</v>
      </c>
      <c r="E104" s="10">
        <f t="shared" ref="E104:M104" si="21">IF((E103*E96)&lt;0,0,(E103*E96))</f>
        <v>22849.875</v>
      </c>
      <c r="F104" s="10">
        <f t="shared" si="21"/>
        <v>24426.516374999999</v>
      </c>
      <c r="G104" s="10">
        <f t="shared" si="21"/>
        <v>26111.946004875004</v>
      </c>
      <c r="H104" s="10">
        <f t="shared" si="21"/>
        <v>27913.670279211376</v>
      </c>
      <c r="I104" s="10">
        <f t="shared" si="21"/>
        <v>29839.713528476965</v>
      </c>
      <c r="J104" s="10">
        <f t="shared" si="21"/>
        <v>31898.653761941874</v>
      </c>
      <c r="K104" s="10">
        <f t="shared" si="21"/>
        <v>34099.660871515865</v>
      </c>
      <c r="L104" s="10">
        <f t="shared" si="21"/>
        <v>36452.537471650459</v>
      </c>
      <c r="M104" s="10">
        <f t="shared" si="21"/>
        <v>38967.762557194335</v>
      </c>
      <c r="AI104" s="3">
        <f>SUM(D104:M104)</f>
        <v>293935.33584986592</v>
      </c>
    </row>
    <row r="105" spans="2:36" x14ac:dyDescent="0.25">
      <c r="D105" s="11"/>
    </row>
    <row r="106" spans="2:36" x14ac:dyDescent="0.25">
      <c r="B106" t="s">
        <v>9</v>
      </c>
      <c r="D106" s="10">
        <f>D96+D101+D104</f>
        <v>513000</v>
      </c>
      <c r="E106" s="3">
        <f t="shared" ref="E106:M106" si="22">E96+E101+E104</f>
        <v>548397</v>
      </c>
      <c r="F106" s="3">
        <f t="shared" si="22"/>
        <v>586236.39300000004</v>
      </c>
      <c r="G106" s="3">
        <f t="shared" si="22"/>
        <v>626686.7041170001</v>
      </c>
      <c r="H106" s="3">
        <f t="shared" si="22"/>
        <v>669928.0867010731</v>
      </c>
      <c r="I106" s="3">
        <f t="shared" si="22"/>
        <v>716153.12468344718</v>
      </c>
      <c r="J106" s="3">
        <f t="shared" si="22"/>
        <v>765567.69028660504</v>
      </c>
      <c r="K106" s="3">
        <f t="shared" si="22"/>
        <v>818391.86091638077</v>
      </c>
      <c r="L106" s="3">
        <f t="shared" si="22"/>
        <v>874860.89931961102</v>
      </c>
      <c r="M106" s="3">
        <f t="shared" si="22"/>
        <v>935226.30137266417</v>
      </c>
    </row>
    <row r="107" spans="2:36" x14ac:dyDescent="0.25">
      <c r="D107" s="11"/>
    </row>
    <row r="108" spans="2:36" x14ac:dyDescent="0.25">
      <c r="B108" t="s">
        <v>16</v>
      </c>
      <c r="D108" s="6">
        <v>0</v>
      </c>
      <c r="E108" s="2">
        <f>D108*(1+D109)</f>
        <v>0</v>
      </c>
      <c r="F108" s="2">
        <f t="shared" ref="F108:M108" si="23">E108*(1+E109)</f>
        <v>0</v>
      </c>
      <c r="G108" s="2">
        <f t="shared" si="23"/>
        <v>0</v>
      </c>
      <c r="H108" s="2">
        <f t="shared" si="23"/>
        <v>0</v>
      </c>
      <c r="I108" s="2">
        <f t="shared" si="23"/>
        <v>0</v>
      </c>
      <c r="J108" s="2">
        <f t="shared" si="23"/>
        <v>0</v>
      </c>
      <c r="K108" s="2">
        <f t="shared" si="23"/>
        <v>0</v>
      </c>
      <c r="L108" s="2">
        <f t="shared" si="23"/>
        <v>0</v>
      </c>
      <c r="M108" s="2">
        <f t="shared" si="23"/>
        <v>0</v>
      </c>
    </row>
    <row r="109" spans="2:36" x14ac:dyDescent="0.25">
      <c r="B109" t="s">
        <v>11</v>
      </c>
      <c r="D109" s="9">
        <f>C83</f>
        <v>0.03</v>
      </c>
      <c r="E109" s="1">
        <f>D109</f>
        <v>0.03</v>
      </c>
      <c r="F109" s="1">
        <f t="shared" ref="F109:M109" si="24">E109</f>
        <v>0.03</v>
      </c>
      <c r="G109" s="1">
        <f t="shared" si="24"/>
        <v>0.03</v>
      </c>
      <c r="H109" s="1">
        <f t="shared" si="24"/>
        <v>0.03</v>
      </c>
      <c r="I109" s="1">
        <f t="shared" si="24"/>
        <v>0.03</v>
      </c>
      <c r="J109" s="1">
        <f t="shared" si="24"/>
        <v>0.03</v>
      </c>
      <c r="K109" s="1">
        <f t="shared" si="24"/>
        <v>0.03</v>
      </c>
      <c r="L109" s="1">
        <f t="shared" si="24"/>
        <v>0.03</v>
      </c>
      <c r="M109" s="1">
        <f t="shared" si="24"/>
        <v>0.03</v>
      </c>
    </row>
    <row r="110" spans="2:36" x14ac:dyDescent="0.25">
      <c r="B110" s="11"/>
      <c r="C110" s="11"/>
      <c r="D110" s="9"/>
      <c r="E110" s="1"/>
      <c r="F110" s="1"/>
      <c r="G110" s="1"/>
      <c r="H110" s="1"/>
      <c r="I110" s="1"/>
      <c r="J110" s="1"/>
      <c r="K110" s="1"/>
      <c r="L110" s="1"/>
      <c r="M110" s="1"/>
    </row>
    <row r="111" spans="2:36" x14ac:dyDescent="0.25">
      <c r="B111" s="11" t="s">
        <v>14</v>
      </c>
      <c r="C111" s="11"/>
      <c r="D111" s="9">
        <f>C82</f>
        <v>1.0999999999999999E-2</v>
      </c>
      <c r="E111" s="1">
        <f>D111</f>
        <v>1.0999999999999999E-2</v>
      </c>
      <c r="F111" s="1">
        <f t="shared" ref="F111:M111" si="25">E111</f>
        <v>1.0999999999999999E-2</v>
      </c>
      <c r="G111" s="1">
        <f t="shared" si="25"/>
        <v>1.0999999999999999E-2</v>
      </c>
      <c r="H111" s="1">
        <f t="shared" si="25"/>
        <v>1.0999999999999999E-2</v>
      </c>
      <c r="I111" s="1">
        <f t="shared" si="25"/>
        <v>1.0999999999999999E-2</v>
      </c>
      <c r="J111" s="1">
        <f t="shared" si="25"/>
        <v>1.0999999999999999E-2</v>
      </c>
      <c r="K111" s="1">
        <f t="shared" si="25"/>
        <v>1.0999999999999999E-2</v>
      </c>
      <c r="L111" s="1">
        <f t="shared" si="25"/>
        <v>1.0999999999999999E-2</v>
      </c>
      <c r="M111" s="1">
        <f t="shared" si="25"/>
        <v>1.0999999999999999E-2</v>
      </c>
    </row>
    <row r="112" spans="2:36" x14ac:dyDescent="0.25">
      <c r="B112" s="11" t="s">
        <v>15</v>
      </c>
      <c r="D112" s="2">
        <f>IF((D111*D96)&lt;0,0,(D111*D96))</f>
        <v>5225</v>
      </c>
      <c r="E112" s="2">
        <f t="shared" ref="E112:M112" si="26">IF((E111*E96)&lt;0,0,(E111*E96))</f>
        <v>5585.5249999999996</v>
      </c>
      <c r="F112" s="2">
        <f t="shared" si="26"/>
        <v>5970.9262249999992</v>
      </c>
      <c r="G112" s="2">
        <f t="shared" si="26"/>
        <v>6382.9201345250003</v>
      </c>
      <c r="H112" s="2">
        <f t="shared" si="26"/>
        <v>6823.341623807225</v>
      </c>
      <c r="I112" s="2">
        <f t="shared" si="26"/>
        <v>7294.1521958499243</v>
      </c>
      <c r="J112" s="2">
        <f t="shared" si="26"/>
        <v>7797.4486973635694</v>
      </c>
      <c r="K112" s="2">
        <f t="shared" si="26"/>
        <v>8335.4726574816559</v>
      </c>
      <c r="L112" s="2">
        <f t="shared" si="26"/>
        <v>8910.6202708478904</v>
      </c>
      <c r="M112" s="2">
        <f t="shared" si="26"/>
        <v>9525.4530695363937</v>
      </c>
      <c r="AI112" s="3">
        <f>SUM(D112:N112)</f>
        <v>71850.859874411661</v>
      </c>
      <c r="AJ112" s="4">
        <f>AI112/AI114</f>
        <v>1</v>
      </c>
    </row>
    <row r="113" spans="2:35" x14ac:dyDescent="0.25">
      <c r="B113" s="11"/>
    </row>
    <row r="114" spans="2:35" x14ac:dyDescent="0.25">
      <c r="B114" t="s">
        <v>17</v>
      </c>
      <c r="D114" s="3">
        <f>IF(D91&lt;=$C$5,(D108+D112),0)</f>
        <v>5225</v>
      </c>
      <c r="E114" s="3">
        <f t="shared" ref="E114:M114" si="27">IF(E91&lt;=$C$5,(E108+E112),0)</f>
        <v>5585.5249999999996</v>
      </c>
      <c r="F114" s="3">
        <f t="shared" si="27"/>
        <v>5970.9262249999992</v>
      </c>
      <c r="G114" s="3">
        <f t="shared" si="27"/>
        <v>6382.9201345250003</v>
      </c>
      <c r="H114" s="3">
        <f t="shared" si="27"/>
        <v>6823.341623807225</v>
      </c>
      <c r="I114" s="3">
        <f t="shared" si="27"/>
        <v>7294.1521958499243</v>
      </c>
      <c r="J114" s="3">
        <f t="shared" si="27"/>
        <v>7797.4486973635694</v>
      </c>
      <c r="K114" s="3">
        <f t="shared" si="27"/>
        <v>8335.4726574816559</v>
      </c>
      <c r="L114" s="3">
        <f t="shared" si="27"/>
        <v>8910.6202708478904</v>
      </c>
      <c r="M114" s="3">
        <f t="shared" si="27"/>
        <v>9525.4530695363937</v>
      </c>
      <c r="AI114" s="3">
        <f>SUM(D114:N114)</f>
        <v>71850.859874411661</v>
      </c>
    </row>
    <row r="115" spans="2:35" x14ac:dyDescent="0.25">
      <c r="B115" s="11"/>
    </row>
    <row r="116" spans="2:35" x14ac:dyDescent="0.25">
      <c r="B116" t="s">
        <v>10</v>
      </c>
      <c r="D116" s="3">
        <f>D106-D108</f>
        <v>513000</v>
      </c>
      <c r="E116" s="3">
        <f>E106-E108</f>
        <v>548397</v>
      </c>
      <c r="F116" s="3">
        <f>F106-F108</f>
        <v>586236.39300000004</v>
      </c>
      <c r="G116" s="3">
        <f>G106-G108</f>
        <v>626686.7041170001</v>
      </c>
      <c r="H116" s="3">
        <f>H106-H108</f>
        <v>669928.0867010731</v>
      </c>
      <c r="I116" s="3">
        <f>I106-I108</f>
        <v>716153.12468344718</v>
      </c>
      <c r="J116" s="3">
        <f>J106-J108</f>
        <v>765567.69028660504</v>
      </c>
      <c r="K116" s="3">
        <f>K106-K108</f>
        <v>818391.86091638077</v>
      </c>
      <c r="L116" s="3">
        <f>L106-L108</f>
        <v>874860.89931961102</v>
      </c>
      <c r="M116" s="3">
        <f>M106-M108</f>
        <v>935226.30137266417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278A-0266-4351-9E02-7FDD64245E61}">
  <dimension ref="B1:AJ116"/>
  <sheetViews>
    <sheetView topLeftCell="A13" workbookViewId="0">
      <selection activeCell="D8" sqref="D8"/>
    </sheetView>
  </sheetViews>
  <sheetFormatPr defaultRowHeight="15" x14ac:dyDescent="0.25"/>
  <cols>
    <col min="2" max="2" width="35.42578125" bestFit="1" customWidth="1"/>
    <col min="3" max="3" width="9.5703125" bestFit="1" customWidth="1"/>
    <col min="4" max="4" width="17" customWidth="1"/>
    <col min="5" max="5" width="10.28515625" customWidth="1"/>
    <col min="6" max="12" width="9.5703125" bestFit="1" customWidth="1"/>
    <col min="13" max="13" width="10.5703125" bestFit="1" customWidth="1"/>
    <col min="35" max="36" width="5.85546875" bestFit="1" customWidth="1"/>
  </cols>
  <sheetData>
    <row r="1" spans="2:3" x14ac:dyDescent="0.25">
      <c r="B1" s="7" t="s">
        <v>51</v>
      </c>
    </row>
    <row r="2" spans="2:3" s="11" customFormat="1" x14ac:dyDescent="0.25">
      <c r="B2" s="11" t="s">
        <v>35</v>
      </c>
      <c r="C2" s="11">
        <f>'Income - Stage 1'!C3</f>
        <v>2026</v>
      </c>
    </row>
    <row r="3" spans="2:3" x14ac:dyDescent="0.25">
      <c r="B3" t="s">
        <v>12</v>
      </c>
      <c r="C3" s="7">
        <f>'Income - Stage 1'!C4</f>
        <v>1</v>
      </c>
    </row>
    <row r="4" spans="2:3" x14ac:dyDescent="0.25">
      <c r="B4" t="s">
        <v>27</v>
      </c>
      <c r="C4" s="7">
        <v>23</v>
      </c>
    </row>
    <row r="5" spans="2:3" x14ac:dyDescent="0.25">
      <c r="B5" t="s">
        <v>13</v>
      </c>
      <c r="C5" s="11">
        <f>C2+C4</f>
        <v>2049</v>
      </c>
    </row>
    <row r="6" spans="2:3" x14ac:dyDescent="0.25">
      <c r="B6" t="s">
        <v>36</v>
      </c>
      <c r="C6" s="11">
        <f>C5+1</f>
        <v>2050</v>
      </c>
    </row>
    <row r="7" spans="2:3" x14ac:dyDescent="0.25">
      <c r="C7" s="11"/>
    </row>
    <row r="8" spans="2:3" x14ac:dyDescent="0.25">
      <c r="B8" t="s">
        <v>29</v>
      </c>
      <c r="C8" s="6">
        <f>'Income - Stage 1'!C7</f>
        <v>65</v>
      </c>
    </row>
    <row r="9" spans="2:3" x14ac:dyDescent="0.25">
      <c r="B9" t="s">
        <v>31</v>
      </c>
      <c r="C9" s="12">
        <f>C8+C4</f>
        <v>88</v>
      </c>
    </row>
    <row r="10" spans="2:3" x14ac:dyDescent="0.25">
      <c r="C10" s="12"/>
    </row>
    <row r="11" spans="2:3" x14ac:dyDescent="0.25">
      <c r="B11" t="s">
        <v>30</v>
      </c>
      <c r="C11" s="6">
        <f>'Income - Stage 1'!C8</f>
        <v>62</v>
      </c>
    </row>
    <row r="12" spans="2:3" x14ac:dyDescent="0.25">
      <c r="B12" t="s">
        <v>32</v>
      </c>
      <c r="C12" s="12">
        <f>C11+C4</f>
        <v>85</v>
      </c>
    </row>
    <row r="13" spans="2:3" x14ac:dyDescent="0.25">
      <c r="C13" s="12"/>
    </row>
    <row r="14" spans="2:3" x14ac:dyDescent="0.25">
      <c r="B14" t="s">
        <v>4</v>
      </c>
      <c r="C14" s="5">
        <v>0.15</v>
      </c>
    </row>
    <row r="15" spans="2:3" x14ac:dyDescent="0.25">
      <c r="B15" t="s">
        <v>18</v>
      </c>
      <c r="C15" s="5">
        <v>1.0999999999999999E-2</v>
      </c>
    </row>
    <row r="16" spans="2:3" x14ac:dyDescent="0.25">
      <c r="B16" t="s">
        <v>21</v>
      </c>
      <c r="C16" s="5">
        <v>0.03</v>
      </c>
    </row>
    <row r="17" spans="2:35" x14ac:dyDescent="0.25">
      <c r="C17" s="11"/>
    </row>
    <row r="18" spans="2:35" x14ac:dyDescent="0.25">
      <c r="B18" t="s">
        <v>23</v>
      </c>
      <c r="C18" s="7" t="s">
        <v>33</v>
      </c>
      <c r="D18" t="s">
        <v>34</v>
      </c>
    </row>
    <row r="19" spans="2:35" x14ac:dyDescent="0.25">
      <c r="B19" t="s">
        <v>25</v>
      </c>
      <c r="C19" s="11"/>
    </row>
    <row r="20" spans="2:35" x14ac:dyDescent="0.25">
      <c r="B20" t="s">
        <v>2</v>
      </c>
      <c r="C20" s="5">
        <v>3.5000000000000003E-2</v>
      </c>
    </row>
    <row r="21" spans="2:35" x14ac:dyDescent="0.25">
      <c r="B21" t="s">
        <v>7</v>
      </c>
      <c r="C21" s="5">
        <v>4.4999999999999998E-2</v>
      </c>
    </row>
    <row r="23" spans="2:35" x14ac:dyDescent="0.25">
      <c r="B23" s="11" t="s">
        <v>28</v>
      </c>
      <c r="D23" s="11">
        <f>C2</f>
        <v>2026</v>
      </c>
      <c r="E23">
        <f>D23+1</f>
        <v>2027</v>
      </c>
      <c r="F23">
        <f t="shared" ref="F23:AI26" si="0">E23+1</f>
        <v>2028</v>
      </c>
      <c r="G23">
        <f t="shared" si="0"/>
        <v>2029</v>
      </c>
      <c r="H23">
        <f t="shared" si="0"/>
        <v>2030</v>
      </c>
      <c r="I23">
        <f t="shared" si="0"/>
        <v>2031</v>
      </c>
      <c r="J23">
        <f t="shared" si="0"/>
        <v>2032</v>
      </c>
      <c r="K23">
        <f t="shared" si="0"/>
        <v>2033</v>
      </c>
      <c r="L23">
        <f t="shared" si="0"/>
        <v>2034</v>
      </c>
      <c r="M23">
        <f t="shared" si="0"/>
        <v>2035</v>
      </c>
      <c r="N23">
        <f t="shared" si="0"/>
        <v>2036</v>
      </c>
      <c r="O23">
        <f t="shared" si="0"/>
        <v>2037</v>
      </c>
      <c r="P23">
        <f t="shared" si="0"/>
        <v>2038</v>
      </c>
      <c r="Q23">
        <f t="shared" si="0"/>
        <v>2039</v>
      </c>
      <c r="R23">
        <f t="shared" si="0"/>
        <v>2040</v>
      </c>
      <c r="S23">
        <f t="shared" si="0"/>
        <v>2041</v>
      </c>
      <c r="T23">
        <f t="shared" si="0"/>
        <v>2042</v>
      </c>
      <c r="U23">
        <f t="shared" si="0"/>
        <v>2043</v>
      </c>
      <c r="V23">
        <f t="shared" si="0"/>
        <v>2044</v>
      </c>
      <c r="W23">
        <f t="shared" si="0"/>
        <v>2045</v>
      </c>
      <c r="X23">
        <f t="shared" si="0"/>
        <v>2046</v>
      </c>
      <c r="Y23">
        <f t="shared" si="0"/>
        <v>2047</v>
      </c>
      <c r="Z23">
        <f t="shared" si="0"/>
        <v>2048</v>
      </c>
      <c r="AA23">
        <f t="shared" si="0"/>
        <v>2049</v>
      </c>
      <c r="AB23">
        <f t="shared" si="0"/>
        <v>2050</v>
      </c>
      <c r="AC23">
        <f t="shared" si="0"/>
        <v>2051</v>
      </c>
      <c r="AD23">
        <f t="shared" si="0"/>
        <v>2052</v>
      </c>
      <c r="AE23">
        <f t="shared" si="0"/>
        <v>2053</v>
      </c>
      <c r="AF23">
        <f t="shared" si="0"/>
        <v>2054</v>
      </c>
      <c r="AG23">
        <f t="shared" si="0"/>
        <v>2055</v>
      </c>
      <c r="AH23">
        <f t="shared" si="0"/>
        <v>2056</v>
      </c>
      <c r="AI23">
        <f t="shared" si="0"/>
        <v>2057</v>
      </c>
    </row>
    <row r="24" spans="2:35" x14ac:dyDescent="0.25">
      <c r="B24" t="s">
        <v>3</v>
      </c>
      <c r="D24">
        <f>C3</f>
        <v>1</v>
      </c>
      <c r="E24">
        <f>D24+1</f>
        <v>2</v>
      </c>
      <c r="F24">
        <f t="shared" si="0"/>
        <v>3</v>
      </c>
      <c r="G24">
        <f t="shared" si="0"/>
        <v>4</v>
      </c>
      <c r="H24">
        <f t="shared" si="0"/>
        <v>5</v>
      </c>
      <c r="I24">
        <f t="shared" si="0"/>
        <v>6</v>
      </c>
      <c r="J24">
        <f t="shared" si="0"/>
        <v>7</v>
      </c>
      <c r="K24">
        <f t="shared" si="0"/>
        <v>8</v>
      </c>
      <c r="L24" s="11">
        <f t="shared" si="0"/>
        <v>9</v>
      </c>
      <c r="M24" s="11">
        <f t="shared" si="0"/>
        <v>10</v>
      </c>
      <c r="N24" s="11">
        <f t="shared" si="0"/>
        <v>11</v>
      </c>
      <c r="O24" s="11">
        <f t="shared" si="0"/>
        <v>12</v>
      </c>
      <c r="P24" s="11">
        <f t="shared" si="0"/>
        <v>13</v>
      </c>
      <c r="Q24" s="11">
        <f t="shared" si="0"/>
        <v>14</v>
      </c>
      <c r="R24" s="11">
        <f t="shared" si="0"/>
        <v>15</v>
      </c>
      <c r="S24" s="11">
        <f t="shared" si="0"/>
        <v>16</v>
      </c>
      <c r="T24" s="11">
        <f t="shared" si="0"/>
        <v>17</v>
      </c>
      <c r="U24" s="11">
        <f t="shared" si="0"/>
        <v>18</v>
      </c>
      <c r="V24" s="11">
        <f t="shared" si="0"/>
        <v>19</v>
      </c>
      <c r="W24" s="11">
        <f t="shared" si="0"/>
        <v>20</v>
      </c>
      <c r="X24" s="11">
        <f t="shared" si="0"/>
        <v>21</v>
      </c>
      <c r="Y24" s="11">
        <f t="shared" si="0"/>
        <v>22</v>
      </c>
      <c r="Z24" s="11">
        <f t="shared" si="0"/>
        <v>23</v>
      </c>
      <c r="AA24" s="11">
        <f t="shared" si="0"/>
        <v>24</v>
      </c>
      <c r="AB24" s="11">
        <f t="shared" si="0"/>
        <v>25</v>
      </c>
      <c r="AC24" s="11">
        <f t="shared" si="0"/>
        <v>26</v>
      </c>
      <c r="AD24" s="11">
        <f t="shared" si="0"/>
        <v>27</v>
      </c>
      <c r="AE24" s="11">
        <f t="shared" si="0"/>
        <v>28</v>
      </c>
      <c r="AF24" s="11">
        <f t="shared" si="0"/>
        <v>29</v>
      </c>
      <c r="AG24" s="11">
        <f t="shared" si="0"/>
        <v>30</v>
      </c>
      <c r="AH24" s="11">
        <f t="shared" si="0"/>
        <v>31</v>
      </c>
      <c r="AI24" s="11">
        <f t="shared" si="0"/>
        <v>32</v>
      </c>
    </row>
    <row r="25" spans="2:35" x14ac:dyDescent="0.25">
      <c r="B25" t="s">
        <v>19</v>
      </c>
      <c r="D25" s="3">
        <f>C8</f>
        <v>65</v>
      </c>
      <c r="E25" s="3">
        <f>D25+1</f>
        <v>66</v>
      </c>
      <c r="F25" s="3">
        <f t="shared" si="0"/>
        <v>67</v>
      </c>
      <c r="G25" s="3">
        <f t="shared" si="0"/>
        <v>68</v>
      </c>
      <c r="H25" s="3">
        <f t="shared" si="0"/>
        <v>69</v>
      </c>
      <c r="I25" s="3">
        <f t="shared" si="0"/>
        <v>70</v>
      </c>
      <c r="J25" s="3">
        <f t="shared" si="0"/>
        <v>71</v>
      </c>
      <c r="K25" s="3">
        <f t="shared" si="0"/>
        <v>72</v>
      </c>
      <c r="L25" s="10">
        <f t="shared" si="0"/>
        <v>73</v>
      </c>
      <c r="M25" s="10">
        <f t="shared" si="0"/>
        <v>74</v>
      </c>
      <c r="N25" s="10">
        <f t="shared" si="0"/>
        <v>75</v>
      </c>
      <c r="O25" s="10">
        <f t="shared" si="0"/>
        <v>76</v>
      </c>
      <c r="P25" s="10">
        <f t="shared" si="0"/>
        <v>77</v>
      </c>
      <c r="Q25" s="10">
        <f t="shared" si="0"/>
        <v>78</v>
      </c>
      <c r="R25" s="10">
        <f t="shared" si="0"/>
        <v>79</v>
      </c>
      <c r="S25" s="10">
        <f t="shared" si="0"/>
        <v>80</v>
      </c>
      <c r="T25" s="10">
        <f t="shared" si="0"/>
        <v>81</v>
      </c>
      <c r="U25" s="10">
        <f t="shared" si="0"/>
        <v>82</v>
      </c>
      <c r="V25" s="10">
        <f t="shared" si="0"/>
        <v>83</v>
      </c>
      <c r="W25" s="10">
        <f t="shared" si="0"/>
        <v>84</v>
      </c>
      <c r="X25" s="10">
        <f t="shared" si="0"/>
        <v>85</v>
      </c>
      <c r="Y25" s="10">
        <f t="shared" si="0"/>
        <v>86</v>
      </c>
      <c r="Z25" s="10">
        <f t="shared" si="0"/>
        <v>87</v>
      </c>
      <c r="AA25" s="10">
        <f t="shared" si="0"/>
        <v>88</v>
      </c>
      <c r="AB25" s="10">
        <f t="shared" si="0"/>
        <v>89</v>
      </c>
      <c r="AC25" s="10">
        <f t="shared" si="0"/>
        <v>90</v>
      </c>
      <c r="AD25" s="10">
        <f t="shared" si="0"/>
        <v>91</v>
      </c>
      <c r="AE25" s="10">
        <f t="shared" si="0"/>
        <v>92</v>
      </c>
      <c r="AF25" s="10">
        <f t="shared" si="0"/>
        <v>93</v>
      </c>
      <c r="AG25" s="10">
        <f t="shared" si="0"/>
        <v>94</v>
      </c>
      <c r="AH25" s="10">
        <f t="shared" si="0"/>
        <v>95</v>
      </c>
      <c r="AI25" s="10">
        <f t="shared" si="0"/>
        <v>96</v>
      </c>
    </row>
    <row r="26" spans="2:35" x14ac:dyDescent="0.25">
      <c r="B26" t="s">
        <v>20</v>
      </c>
      <c r="D26" s="3">
        <f>C11</f>
        <v>62</v>
      </c>
      <c r="E26" s="3">
        <f>D26+1</f>
        <v>63</v>
      </c>
      <c r="F26" s="3">
        <f t="shared" si="0"/>
        <v>64</v>
      </c>
      <c r="G26" s="3">
        <f t="shared" si="0"/>
        <v>65</v>
      </c>
      <c r="H26" s="3">
        <f t="shared" si="0"/>
        <v>66</v>
      </c>
      <c r="I26" s="3">
        <f t="shared" si="0"/>
        <v>67</v>
      </c>
      <c r="J26" s="3">
        <f t="shared" si="0"/>
        <v>68</v>
      </c>
      <c r="K26" s="3">
        <f t="shared" si="0"/>
        <v>69</v>
      </c>
      <c r="L26" s="10">
        <f t="shared" si="0"/>
        <v>70</v>
      </c>
      <c r="M26" s="10">
        <f t="shared" si="0"/>
        <v>71</v>
      </c>
      <c r="N26" s="10">
        <f t="shared" si="0"/>
        <v>72</v>
      </c>
      <c r="O26" s="10">
        <f t="shared" si="0"/>
        <v>73</v>
      </c>
      <c r="P26" s="10">
        <f t="shared" si="0"/>
        <v>74</v>
      </c>
      <c r="Q26" s="10">
        <f t="shared" si="0"/>
        <v>75</v>
      </c>
      <c r="R26" s="10">
        <f t="shared" si="0"/>
        <v>76</v>
      </c>
      <c r="S26" s="10">
        <f t="shared" si="0"/>
        <v>77</v>
      </c>
      <c r="T26" s="10">
        <f t="shared" si="0"/>
        <v>78</v>
      </c>
      <c r="U26" s="10">
        <f t="shared" si="0"/>
        <v>79</v>
      </c>
      <c r="V26" s="10">
        <f t="shared" si="0"/>
        <v>80</v>
      </c>
      <c r="W26" s="10">
        <f t="shared" si="0"/>
        <v>81</v>
      </c>
      <c r="X26" s="10">
        <f t="shared" si="0"/>
        <v>82</v>
      </c>
      <c r="Y26" s="10">
        <f t="shared" si="0"/>
        <v>83</v>
      </c>
      <c r="Z26" s="10">
        <f t="shared" si="0"/>
        <v>84</v>
      </c>
      <c r="AA26" s="10">
        <f t="shared" si="0"/>
        <v>85</v>
      </c>
      <c r="AB26" s="10">
        <f t="shared" si="0"/>
        <v>86</v>
      </c>
      <c r="AC26" s="10">
        <f t="shared" si="0"/>
        <v>87</v>
      </c>
      <c r="AD26" s="10">
        <f t="shared" si="0"/>
        <v>88</v>
      </c>
      <c r="AE26" s="10">
        <f t="shared" si="0"/>
        <v>89</v>
      </c>
      <c r="AF26" s="10">
        <f t="shared" si="0"/>
        <v>90</v>
      </c>
      <c r="AG26" s="10">
        <f t="shared" si="0"/>
        <v>91</v>
      </c>
      <c r="AH26" s="10">
        <f t="shared" si="0"/>
        <v>92</v>
      </c>
      <c r="AI26" s="10">
        <f t="shared" si="0"/>
        <v>93</v>
      </c>
    </row>
    <row r="27" spans="2:35" x14ac:dyDescent="0.25"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r="29" spans="2:35" x14ac:dyDescent="0.25">
      <c r="B29" t="s">
        <v>0</v>
      </c>
      <c r="D29" s="13">
        <v>142534.15677119835</v>
      </c>
      <c r="E29" s="8">
        <f>D56</f>
        <v>140238.58498984543</v>
      </c>
      <c r="F29" s="8">
        <f t="shared" ref="F29:AI29" si="1">E56</f>
        <v>137771.41921783637</v>
      </c>
      <c r="G29" s="8">
        <f t="shared" si="1"/>
        <v>135119.83280436965</v>
      </c>
      <c r="H29" s="8">
        <f t="shared" si="1"/>
        <v>132270.04030649629</v>
      </c>
      <c r="I29" s="8">
        <f t="shared" si="1"/>
        <v>129207.22581940689</v>
      </c>
      <c r="J29" s="8">
        <f t="shared" si="1"/>
        <v>125915.46594940755</v>
      </c>
      <c r="K29" s="8">
        <f t="shared" si="1"/>
        <v>122377.64702912577</v>
      </c>
      <c r="L29" s="8">
        <f t="shared" si="1"/>
        <v>118575.37614455292</v>
      </c>
      <c r="M29" s="8">
        <f t="shared" si="1"/>
        <v>114488.88551135825</v>
      </c>
      <c r="N29" s="8">
        <f t="shared" si="1"/>
        <v>110096.92970333228</v>
      </c>
      <c r="O29" s="8">
        <f t="shared" si="1"/>
        <v>105376.67519865638</v>
      </c>
      <c r="P29" s="8">
        <f t="shared" si="1"/>
        <v>100303.58166975593</v>
      </c>
      <c r="Q29" s="8">
        <f t="shared" si="1"/>
        <v>94851.274399570189</v>
      </c>
      <c r="R29" s="8">
        <f t="shared" si="1"/>
        <v>88991.407160938063</v>
      </c>
      <c r="S29" s="8">
        <f t="shared" si="1"/>
        <v>82693.514846218182</v>
      </c>
      <c r="T29" s="8">
        <f t="shared" si="1"/>
        <v>75924.855080972993</v>
      </c>
      <c r="U29" s="8">
        <f t="shared" si="1"/>
        <v>68650.237998275727</v>
      </c>
      <c r="V29" s="8">
        <f t="shared" si="1"/>
        <v>60831.843288646836</v>
      </c>
      <c r="W29" s="8">
        <f t="shared" si="1"/>
        <v>52429.023574473191</v>
      </c>
      <c r="X29" s="8">
        <f t="shared" si="1"/>
        <v>43398.09308666506</v>
      </c>
      <c r="Y29" s="8">
        <f t="shared" si="1"/>
        <v>33692.100544893277</v>
      </c>
      <c r="Z29" s="8">
        <f t="shared" si="1"/>
        <v>23260.585060624049</v>
      </c>
      <c r="AA29" s="8">
        <f t="shared" si="1"/>
        <v>12049.313793905698</v>
      </c>
      <c r="AB29" s="8">
        <f t="shared" si="1"/>
        <v>1.4915713109076023E-10</v>
      </c>
      <c r="AC29" s="8">
        <f t="shared" si="1"/>
        <v>1.6030662663979455E-10</v>
      </c>
      <c r="AD29" s="8">
        <f t="shared" si="1"/>
        <v>1.722895469811192E-10</v>
      </c>
      <c r="AE29" s="8">
        <f t="shared" si="1"/>
        <v>1.8516819061795786E-10</v>
      </c>
      <c r="AF29" s="8">
        <f t="shared" si="1"/>
        <v>1.990095128666502E-10</v>
      </c>
      <c r="AG29" s="8">
        <f t="shared" si="1"/>
        <v>2.138854739534323E-10</v>
      </c>
      <c r="AH29" s="8">
        <f t="shared" si="1"/>
        <v>2.2987341313145136E-10</v>
      </c>
      <c r="AI29" s="8">
        <f t="shared" si="1"/>
        <v>2.4705645076302736E-10</v>
      </c>
    </row>
    <row r="30" spans="2:35" x14ac:dyDescent="0.25">
      <c r="B30" t="s">
        <v>2</v>
      </c>
      <c r="D30" s="9">
        <f>C20</f>
        <v>3.5000000000000003E-2</v>
      </c>
      <c r="E30" s="1">
        <f>D30</f>
        <v>3.5000000000000003E-2</v>
      </c>
      <c r="F30" s="1">
        <f t="shared" ref="F30:AI30" si="2">E30</f>
        <v>3.5000000000000003E-2</v>
      </c>
      <c r="G30" s="1">
        <f t="shared" si="2"/>
        <v>3.5000000000000003E-2</v>
      </c>
      <c r="H30" s="1">
        <f t="shared" si="2"/>
        <v>3.5000000000000003E-2</v>
      </c>
      <c r="I30" s="1">
        <f t="shared" si="2"/>
        <v>3.5000000000000003E-2</v>
      </c>
      <c r="J30" s="1">
        <f t="shared" si="2"/>
        <v>3.5000000000000003E-2</v>
      </c>
      <c r="K30" s="1">
        <f t="shared" si="2"/>
        <v>3.5000000000000003E-2</v>
      </c>
      <c r="L30" s="1">
        <f t="shared" si="2"/>
        <v>3.5000000000000003E-2</v>
      </c>
      <c r="M30" s="1">
        <f t="shared" si="2"/>
        <v>3.5000000000000003E-2</v>
      </c>
      <c r="N30" s="1">
        <f t="shared" si="2"/>
        <v>3.5000000000000003E-2</v>
      </c>
      <c r="O30" s="1">
        <f t="shared" si="2"/>
        <v>3.5000000000000003E-2</v>
      </c>
      <c r="P30" s="1">
        <f t="shared" si="2"/>
        <v>3.5000000000000003E-2</v>
      </c>
      <c r="Q30" s="1">
        <f t="shared" si="2"/>
        <v>3.5000000000000003E-2</v>
      </c>
      <c r="R30" s="1">
        <f t="shared" si="2"/>
        <v>3.5000000000000003E-2</v>
      </c>
      <c r="S30" s="1">
        <f t="shared" si="2"/>
        <v>3.5000000000000003E-2</v>
      </c>
      <c r="T30" s="1">
        <f t="shared" si="2"/>
        <v>3.5000000000000003E-2</v>
      </c>
      <c r="U30" s="1">
        <f t="shared" si="2"/>
        <v>3.5000000000000003E-2</v>
      </c>
      <c r="V30" s="1">
        <f t="shared" si="2"/>
        <v>3.5000000000000003E-2</v>
      </c>
      <c r="W30" s="1">
        <f t="shared" si="2"/>
        <v>3.5000000000000003E-2</v>
      </c>
      <c r="X30" s="1">
        <f t="shared" si="2"/>
        <v>3.5000000000000003E-2</v>
      </c>
      <c r="Y30" s="1">
        <f t="shared" si="2"/>
        <v>3.5000000000000003E-2</v>
      </c>
      <c r="Z30" s="1">
        <f t="shared" si="2"/>
        <v>3.5000000000000003E-2</v>
      </c>
      <c r="AA30" s="1">
        <f t="shared" si="2"/>
        <v>3.5000000000000003E-2</v>
      </c>
      <c r="AB30" s="1">
        <f t="shared" si="2"/>
        <v>3.5000000000000003E-2</v>
      </c>
      <c r="AC30" s="1">
        <f t="shared" si="2"/>
        <v>3.5000000000000003E-2</v>
      </c>
      <c r="AD30" s="1">
        <f t="shared" si="2"/>
        <v>3.5000000000000003E-2</v>
      </c>
      <c r="AE30" s="1">
        <f t="shared" si="2"/>
        <v>3.5000000000000003E-2</v>
      </c>
      <c r="AF30" s="1">
        <f t="shared" si="2"/>
        <v>3.5000000000000003E-2</v>
      </c>
      <c r="AG30" s="1">
        <f t="shared" si="2"/>
        <v>3.5000000000000003E-2</v>
      </c>
      <c r="AH30" s="1">
        <f t="shared" si="2"/>
        <v>3.5000000000000003E-2</v>
      </c>
      <c r="AI30" s="1">
        <f t="shared" si="2"/>
        <v>3.5000000000000003E-2</v>
      </c>
    </row>
    <row r="31" spans="2:35" x14ac:dyDescent="0.25">
      <c r="B31" t="s">
        <v>1</v>
      </c>
      <c r="D31" s="10">
        <f>D29*D30</f>
        <v>4988.6954869919427</v>
      </c>
      <c r="E31" s="3">
        <f t="shared" ref="E31:AI31" si="3">E29*E30</f>
        <v>4908.3504746445906</v>
      </c>
      <c r="F31" s="3">
        <f t="shared" si="3"/>
        <v>4821.9996726242734</v>
      </c>
      <c r="G31" s="3">
        <f t="shared" si="3"/>
        <v>4729.1941481529384</v>
      </c>
      <c r="H31" s="3">
        <f t="shared" si="3"/>
        <v>4629.4514107273708</v>
      </c>
      <c r="I31" s="3">
        <f t="shared" si="3"/>
        <v>4522.2529036792412</v>
      </c>
      <c r="J31" s="3">
        <f t="shared" si="3"/>
        <v>4407.0413082292644</v>
      </c>
      <c r="K31" s="3">
        <f t="shared" si="3"/>
        <v>4283.2176460194023</v>
      </c>
      <c r="L31" s="3">
        <f t="shared" si="3"/>
        <v>4150.138165059353</v>
      </c>
      <c r="M31" s="3">
        <f t="shared" si="3"/>
        <v>4007.1109928975393</v>
      </c>
      <c r="N31" s="3">
        <f t="shared" si="3"/>
        <v>3853.3925396166301</v>
      </c>
      <c r="O31" s="3">
        <f t="shared" si="3"/>
        <v>3688.1836319529734</v>
      </c>
      <c r="P31" s="3">
        <f t="shared" si="3"/>
        <v>3510.625358441458</v>
      </c>
      <c r="Q31" s="3">
        <f t="shared" si="3"/>
        <v>3319.7946039849571</v>
      </c>
      <c r="R31" s="3">
        <f t="shared" si="3"/>
        <v>3114.6992506328324</v>
      </c>
      <c r="S31" s="3">
        <f t="shared" si="3"/>
        <v>2894.2730196176367</v>
      </c>
      <c r="T31" s="3">
        <f t="shared" si="3"/>
        <v>2657.369927834055</v>
      </c>
      <c r="U31" s="3">
        <f t="shared" si="3"/>
        <v>2402.7583299396506</v>
      </c>
      <c r="V31" s="3">
        <f t="shared" si="3"/>
        <v>2129.1145151026394</v>
      </c>
      <c r="W31" s="3">
        <f t="shared" si="3"/>
        <v>1835.0158251065618</v>
      </c>
      <c r="X31" s="3">
        <f t="shared" si="3"/>
        <v>1518.9332580332773</v>
      </c>
      <c r="Y31" s="3">
        <f t="shared" si="3"/>
        <v>1179.2235190712647</v>
      </c>
      <c r="Z31" s="3">
        <f t="shared" si="3"/>
        <v>814.12047712184176</v>
      </c>
      <c r="AA31" s="3">
        <f t="shared" si="3"/>
        <v>421.72598278669949</v>
      </c>
      <c r="AB31" s="3">
        <f t="shared" si="3"/>
        <v>5.2204995881766083E-12</v>
      </c>
      <c r="AC31" s="3">
        <f t="shared" si="3"/>
        <v>5.6107319323928094E-12</v>
      </c>
      <c r="AD31" s="3">
        <f t="shared" si="3"/>
        <v>6.0301341443391724E-12</v>
      </c>
      <c r="AE31" s="3">
        <f t="shared" si="3"/>
        <v>6.4808866716285261E-12</v>
      </c>
      <c r="AF31" s="3">
        <f t="shared" si="3"/>
        <v>6.9653329503327579E-12</v>
      </c>
      <c r="AG31" s="3">
        <f t="shared" si="3"/>
        <v>7.4859915883701308E-12</v>
      </c>
      <c r="AH31" s="3">
        <f t="shared" si="3"/>
        <v>8.0455694596007983E-12</v>
      </c>
      <c r="AI31" s="3">
        <f t="shared" si="3"/>
        <v>8.6469757767059586E-12</v>
      </c>
    </row>
    <row r="32" spans="2:35" x14ac:dyDescent="0.25">
      <c r="B32" t="s">
        <v>4</v>
      </c>
      <c r="D32" s="9">
        <f>C14</f>
        <v>0.15</v>
      </c>
      <c r="E32" s="4">
        <f>D32</f>
        <v>0.15</v>
      </c>
      <c r="F32" s="4">
        <f t="shared" ref="F32:AI32" si="4">E32</f>
        <v>0.15</v>
      </c>
      <c r="G32" s="4">
        <f t="shared" si="4"/>
        <v>0.15</v>
      </c>
      <c r="H32" s="4">
        <f t="shared" si="4"/>
        <v>0.15</v>
      </c>
      <c r="I32" s="4">
        <f t="shared" si="4"/>
        <v>0.15</v>
      </c>
      <c r="J32" s="4">
        <f t="shared" si="4"/>
        <v>0.15</v>
      </c>
      <c r="K32" s="4">
        <f t="shared" si="4"/>
        <v>0.15</v>
      </c>
      <c r="L32" s="4">
        <f t="shared" si="4"/>
        <v>0.15</v>
      </c>
      <c r="M32" s="4">
        <f t="shared" si="4"/>
        <v>0.15</v>
      </c>
      <c r="N32" s="4">
        <f t="shared" si="4"/>
        <v>0.15</v>
      </c>
      <c r="O32" s="4">
        <f t="shared" si="4"/>
        <v>0.15</v>
      </c>
      <c r="P32" s="4">
        <f t="shared" si="4"/>
        <v>0.15</v>
      </c>
      <c r="Q32" s="4">
        <f t="shared" si="4"/>
        <v>0.15</v>
      </c>
      <c r="R32" s="4">
        <f t="shared" si="4"/>
        <v>0.15</v>
      </c>
      <c r="S32" s="4">
        <f t="shared" si="4"/>
        <v>0.15</v>
      </c>
      <c r="T32" s="4">
        <f t="shared" si="4"/>
        <v>0.15</v>
      </c>
      <c r="U32" s="4">
        <f t="shared" si="4"/>
        <v>0.15</v>
      </c>
      <c r="V32" s="4">
        <f t="shared" si="4"/>
        <v>0.15</v>
      </c>
      <c r="W32" s="4">
        <f t="shared" si="4"/>
        <v>0.15</v>
      </c>
      <c r="X32" s="4">
        <f t="shared" si="4"/>
        <v>0.15</v>
      </c>
      <c r="Y32" s="4">
        <f t="shared" si="4"/>
        <v>0.15</v>
      </c>
      <c r="Z32" s="4">
        <f t="shared" si="4"/>
        <v>0.15</v>
      </c>
      <c r="AA32" s="4">
        <f t="shared" si="4"/>
        <v>0.15</v>
      </c>
      <c r="AB32" s="4">
        <f t="shared" si="4"/>
        <v>0.15</v>
      </c>
      <c r="AC32" s="4">
        <f t="shared" si="4"/>
        <v>0.15</v>
      </c>
      <c r="AD32" s="4">
        <f t="shared" si="4"/>
        <v>0.15</v>
      </c>
      <c r="AE32" s="4">
        <f t="shared" si="4"/>
        <v>0.15</v>
      </c>
      <c r="AF32" s="4">
        <f t="shared" si="4"/>
        <v>0.15</v>
      </c>
      <c r="AG32" s="4">
        <f t="shared" si="4"/>
        <v>0.15</v>
      </c>
      <c r="AH32" s="4">
        <f t="shared" si="4"/>
        <v>0.15</v>
      </c>
      <c r="AI32" s="4">
        <f t="shared" si="4"/>
        <v>0.15</v>
      </c>
    </row>
    <row r="33" spans="2:35" x14ac:dyDescent="0.25">
      <c r="B33" t="s">
        <v>5</v>
      </c>
      <c r="D33" s="10">
        <f>IF((D31*D32)&lt;0,0,(D31*D32))</f>
        <v>748.30432304879139</v>
      </c>
      <c r="E33" s="10">
        <f t="shared" ref="E33:AI33" si="5">IF((E31*E32)&lt;0,0,(E31*E32))</f>
        <v>736.25257119668856</v>
      </c>
      <c r="F33" s="10">
        <f t="shared" si="5"/>
        <v>723.29995089364104</v>
      </c>
      <c r="G33" s="10">
        <f t="shared" si="5"/>
        <v>709.37912222294074</v>
      </c>
      <c r="H33" s="10">
        <f t="shared" si="5"/>
        <v>694.4177116091056</v>
      </c>
      <c r="I33" s="10">
        <f t="shared" si="5"/>
        <v>678.33793555188618</v>
      </c>
      <c r="J33" s="10">
        <f t="shared" si="5"/>
        <v>661.05619623438963</v>
      </c>
      <c r="K33" s="10">
        <f t="shared" si="5"/>
        <v>642.48264690291035</v>
      </c>
      <c r="L33" s="10">
        <f t="shared" si="5"/>
        <v>622.52072475890293</v>
      </c>
      <c r="M33" s="10">
        <f t="shared" si="5"/>
        <v>601.06664893463085</v>
      </c>
      <c r="N33" s="10">
        <f t="shared" si="5"/>
        <v>578.00888094249444</v>
      </c>
      <c r="O33" s="10">
        <f t="shared" si="5"/>
        <v>553.22754479294599</v>
      </c>
      <c r="P33" s="10">
        <f t="shared" si="5"/>
        <v>526.59380376621868</v>
      </c>
      <c r="Q33" s="10">
        <f t="shared" si="5"/>
        <v>497.96919059774353</v>
      </c>
      <c r="R33" s="10">
        <f t="shared" si="5"/>
        <v>467.20488759492486</v>
      </c>
      <c r="S33" s="10">
        <f t="shared" si="5"/>
        <v>434.14095294264547</v>
      </c>
      <c r="T33" s="10">
        <f t="shared" si="5"/>
        <v>398.60548917510823</v>
      </c>
      <c r="U33" s="10">
        <f t="shared" si="5"/>
        <v>360.41374949094757</v>
      </c>
      <c r="V33" s="10">
        <f t="shared" si="5"/>
        <v>319.36717726539592</v>
      </c>
      <c r="W33" s="10">
        <f t="shared" si="5"/>
        <v>275.25237376598426</v>
      </c>
      <c r="X33" s="10">
        <f t="shared" si="5"/>
        <v>227.83998870499158</v>
      </c>
      <c r="Y33" s="10">
        <f t="shared" si="5"/>
        <v>176.8835278606897</v>
      </c>
      <c r="Z33" s="10">
        <f t="shared" si="5"/>
        <v>122.11807156827626</v>
      </c>
      <c r="AA33" s="10">
        <f t="shared" si="5"/>
        <v>63.258897418004921</v>
      </c>
      <c r="AB33" s="10">
        <f t="shared" si="5"/>
        <v>7.830749382264912E-13</v>
      </c>
      <c r="AC33" s="10">
        <f t="shared" si="5"/>
        <v>8.4160978985892136E-13</v>
      </c>
      <c r="AD33" s="10">
        <f t="shared" si="5"/>
        <v>9.0452012165087579E-13</v>
      </c>
      <c r="AE33" s="10">
        <f t="shared" si="5"/>
        <v>9.7213300074427891E-13</v>
      </c>
      <c r="AF33" s="10">
        <f t="shared" si="5"/>
        <v>1.0447999425499137E-12</v>
      </c>
      <c r="AG33" s="10">
        <f t="shared" si="5"/>
        <v>1.1228987382555195E-12</v>
      </c>
      <c r="AH33" s="10">
        <f t="shared" si="5"/>
        <v>1.2068354189401198E-12</v>
      </c>
      <c r="AI33" s="10">
        <f t="shared" si="5"/>
        <v>1.2970463665058937E-12</v>
      </c>
    </row>
    <row r="34" spans="2:35" x14ac:dyDescent="0.25">
      <c r="B34" t="s">
        <v>6</v>
      </c>
      <c r="D34" s="10">
        <f>IF((D31-D33)&lt;0,0,(D31-D33))</f>
        <v>4240.3911639431517</v>
      </c>
      <c r="E34" s="10">
        <f t="shared" ref="E34:AI34" si="6">IF((E31-E33)&lt;0,0,(E31-E33))</f>
        <v>4172.0979034479024</v>
      </c>
      <c r="F34" s="10">
        <f t="shared" si="6"/>
        <v>4098.6997217306325</v>
      </c>
      <c r="G34" s="10">
        <f t="shared" si="6"/>
        <v>4019.8150259299978</v>
      </c>
      <c r="H34" s="10">
        <f t="shared" si="6"/>
        <v>3935.0336991182653</v>
      </c>
      <c r="I34" s="10">
        <f t="shared" si="6"/>
        <v>3843.9149681273548</v>
      </c>
      <c r="J34" s="10">
        <f t="shared" si="6"/>
        <v>3745.9851119948748</v>
      </c>
      <c r="K34" s="10">
        <f t="shared" si="6"/>
        <v>3640.734999116492</v>
      </c>
      <c r="L34" s="10">
        <f t="shared" si="6"/>
        <v>3527.6174403004502</v>
      </c>
      <c r="M34" s="10">
        <f t="shared" si="6"/>
        <v>3406.0443439629084</v>
      </c>
      <c r="N34" s="10">
        <f t="shared" si="6"/>
        <v>3275.3836586741354</v>
      </c>
      <c r="O34" s="10">
        <f t="shared" si="6"/>
        <v>3134.9560871600274</v>
      </c>
      <c r="P34" s="10">
        <f t="shared" si="6"/>
        <v>2984.0315546752395</v>
      </c>
      <c r="Q34" s="10">
        <f t="shared" si="6"/>
        <v>2821.8254133872138</v>
      </c>
      <c r="R34" s="10">
        <f t="shared" si="6"/>
        <v>2647.4943630379075</v>
      </c>
      <c r="S34" s="10">
        <f t="shared" si="6"/>
        <v>2460.1320666749912</v>
      </c>
      <c r="T34" s="10">
        <f t="shared" si="6"/>
        <v>2258.7644386589468</v>
      </c>
      <c r="U34" s="10">
        <f t="shared" si="6"/>
        <v>2042.344580448703</v>
      </c>
      <c r="V34" s="10">
        <f t="shared" si="6"/>
        <v>1809.7473378372435</v>
      </c>
      <c r="W34" s="10">
        <f t="shared" si="6"/>
        <v>1559.7634513405776</v>
      </c>
      <c r="X34" s="10">
        <f t="shared" si="6"/>
        <v>1291.0932693282857</v>
      </c>
      <c r="Y34" s="10">
        <f t="shared" si="6"/>
        <v>1002.339991210575</v>
      </c>
      <c r="Z34" s="10">
        <f t="shared" si="6"/>
        <v>692.0024055535655</v>
      </c>
      <c r="AA34" s="10">
        <f t="shared" si="6"/>
        <v>358.4670853686946</v>
      </c>
      <c r="AB34" s="10">
        <f t="shared" si="6"/>
        <v>4.4374246499501173E-12</v>
      </c>
      <c r="AC34" s="10">
        <f t="shared" si="6"/>
        <v>4.7691221425338878E-12</v>
      </c>
      <c r="AD34" s="10">
        <f t="shared" si="6"/>
        <v>5.1256140226882967E-12</v>
      </c>
      <c r="AE34" s="10">
        <f t="shared" si="6"/>
        <v>5.5087536708842474E-12</v>
      </c>
      <c r="AF34" s="10">
        <f t="shared" si="6"/>
        <v>5.9205330077828444E-12</v>
      </c>
      <c r="AG34" s="10">
        <f t="shared" si="6"/>
        <v>6.3630928501146111E-12</v>
      </c>
      <c r="AH34" s="10">
        <f t="shared" si="6"/>
        <v>6.8387340406606787E-12</v>
      </c>
      <c r="AI34" s="10">
        <f t="shared" si="6"/>
        <v>7.3499294102000647E-12</v>
      </c>
    </row>
    <row r="35" spans="2:35" x14ac:dyDescent="0.25">
      <c r="D35" s="11"/>
    </row>
    <row r="36" spans="2:35" x14ac:dyDescent="0.25">
      <c r="B36" t="s">
        <v>7</v>
      </c>
      <c r="D36" s="9">
        <f>C21</f>
        <v>4.4999999999999998E-2</v>
      </c>
      <c r="E36" s="1">
        <f>D36</f>
        <v>4.4999999999999998E-2</v>
      </c>
      <c r="F36" s="1">
        <f t="shared" ref="F36:AI36" si="7">E36</f>
        <v>4.4999999999999998E-2</v>
      </c>
      <c r="G36" s="1">
        <f t="shared" si="7"/>
        <v>4.4999999999999998E-2</v>
      </c>
      <c r="H36" s="1">
        <f t="shared" si="7"/>
        <v>4.4999999999999998E-2</v>
      </c>
      <c r="I36" s="1">
        <f t="shared" si="7"/>
        <v>4.4999999999999998E-2</v>
      </c>
      <c r="J36" s="1">
        <f t="shared" si="7"/>
        <v>4.4999999999999998E-2</v>
      </c>
      <c r="K36" s="1">
        <f t="shared" si="7"/>
        <v>4.4999999999999998E-2</v>
      </c>
      <c r="L36" s="1">
        <f t="shared" si="7"/>
        <v>4.4999999999999998E-2</v>
      </c>
      <c r="M36" s="1">
        <f t="shared" si="7"/>
        <v>4.4999999999999998E-2</v>
      </c>
      <c r="N36" s="1">
        <f t="shared" si="7"/>
        <v>4.4999999999999998E-2</v>
      </c>
      <c r="O36" s="1">
        <f t="shared" si="7"/>
        <v>4.4999999999999998E-2</v>
      </c>
      <c r="P36" s="1">
        <f t="shared" si="7"/>
        <v>4.4999999999999998E-2</v>
      </c>
      <c r="Q36" s="1">
        <f t="shared" si="7"/>
        <v>4.4999999999999998E-2</v>
      </c>
      <c r="R36" s="1">
        <f t="shared" si="7"/>
        <v>4.4999999999999998E-2</v>
      </c>
      <c r="S36" s="1">
        <f t="shared" si="7"/>
        <v>4.4999999999999998E-2</v>
      </c>
      <c r="T36" s="1">
        <f t="shared" si="7"/>
        <v>4.4999999999999998E-2</v>
      </c>
      <c r="U36" s="1">
        <f t="shared" si="7"/>
        <v>4.4999999999999998E-2</v>
      </c>
      <c r="V36" s="1">
        <f t="shared" si="7"/>
        <v>4.4999999999999998E-2</v>
      </c>
      <c r="W36" s="1">
        <f t="shared" si="7"/>
        <v>4.4999999999999998E-2</v>
      </c>
      <c r="X36" s="1">
        <f t="shared" si="7"/>
        <v>4.4999999999999998E-2</v>
      </c>
      <c r="Y36" s="1">
        <f t="shared" si="7"/>
        <v>4.4999999999999998E-2</v>
      </c>
      <c r="Z36" s="1">
        <f t="shared" si="7"/>
        <v>4.4999999999999998E-2</v>
      </c>
      <c r="AA36" s="1">
        <f t="shared" si="7"/>
        <v>4.4999999999999998E-2</v>
      </c>
      <c r="AB36" s="1">
        <f t="shared" si="7"/>
        <v>4.4999999999999998E-2</v>
      </c>
      <c r="AC36" s="1">
        <f t="shared" si="7"/>
        <v>4.4999999999999998E-2</v>
      </c>
      <c r="AD36" s="1">
        <f t="shared" si="7"/>
        <v>4.4999999999999998E-2</v>
      </c>
      <c r="AE36" s="1">
        <f t="shared" si="7"/>
        <v>4.4999999999999998E-2</v>
      </c>
      <c r="AF36" s="1">
        <f t="shared" si="7"/>
        <v>4.4999999999999998E-2</v>
      </c>
      <c r="AG36" s="1">
        <f t="shared" si="7"/>
        <v>4.4999999999999998E-2</v>
      </c>
      <c r="AH36" s="1">
        <f t="shared" si="7"/>
        <v>4.4999999999999998E-2</v>
      </c>
      <c r="AI36" s="1">
        <f t="shared" si="7"/>
        <v>4.4999999999999998E-2</v>
      </c>
    </row>
    <row r="37" spans="2:35" x14ac:dyDescent="0.25">
      <c r="B37" t="s">
        <v>8</v>
      </c>
      <c r="D37" s="10">
        <f>IF((D36*D29)&lt;0,0,(D36*D29))</f>
        <v>6414.0370547039256</v>
      </c>
      <c r="E37" s="10">
        <f t="shared" ref="E37:AI37" si="8">IF((E36*E29)&lt;0,0,(E36*E29))</f>
        <v>6310.7363245430442</v>
      </c>
      <c r="F37" s="10">
        <f t="shared" si="8"/>
        <v>6199.7138648026366</v>
      </c>
      <c r="G37" s="10">
        <f t="shared" si="8"/>
        <v>6080.3924761966346</v>
      </c>
      <c r="H37" s="10">
        <f t="shared" si="8"/>
        <v>5952.1518137923331</v>
      </c>
      <c r="I37" s="10">
        <f t="shared" si="8"/>
        <v>5814.3251618733093</v>
      </c>
      <c r="J37" s="10">
        <f t="shared" si="8"/>
        <v>5666.195967723339</v>
      </c>
      <c r="K37" s="10">
        <f t="shared" si="8"/>
        <v>5506.9941163106596</v>
      </c>
      <c r="L37" s="10">
        <f t="shared" si="8"/>
        <v>5335.8919265048817</v>
      </c>
      <c r="M37" s="10">
        <f t="shared" si="8"/>
        <v>5151.9998480111217</v>
      </c>
      <c r="N37" s="10">
        <f t="shared" si="8"/>
        <v>4954.3618366499522</v>
      </c>
      <c r="O37" s="10">
        <f t="shared" si="8"/>
        <v>4741.9503839395366</v>
      </c>
      <c r="P37" s="10">
        <f t="shared" si="8"/>
        <v>4513.6611751390164</v>
      </c>
      <c r="Q37" s="10">
        <f t="shared" si="8"/>
        <v>4268.3073479806581</v>
      </c>
      <c r="R37" s="10">
        <f t="shared" si="8"/>
        <v>4004.6133222422127</v>
      </c>
      <c r="S37" s="10">
        <f t="shared" si="8"/>
        <v>3721.2081680798183</v>
      </c>
      <c r="T37" s="10">
        <f t="shared" si="8"/>
        <v>3416.6184786437848</v>
      </c>
      <c r="U37" s="10">
        <f t="shared" si="8"/>
        <v>3089.2607099224074</v>
      </c>
      <c r="V37" s="10">
        <f t="shared" si="8"/>
        <v>2737.4329479891076</v>
      </c>
      <c r="W37" s="10">
        <f t="shared" si="8"/>
        <v>2359.3060608512933</v>
      </c>
      <c r="X37" s="10">
        <f t="shared" si="8"/>
        <v>1952.9141888999277</v>
      </c>
      <c r="Y37" s="10">
        <f t="shared" si="8"/>
        <v>1516.1445245201974</v>
      </c>
      <c r="Z37" s="10">
        <f t="shared" si="8"/>
        <v>1046.7263277280822</v>
      </c>
      <c r="AA37" s="10">
        <f t="shared" si="8"/>
        <v>542.2191207257564</v>
      </c>
      <c r="AB37" s="10">
        <f t="shared" si="8"/>
        <v>6.7120708990842103E-12</v>
      </c>
      <c r="AC37" s="10">
        <f t="shared" si="8"/>
        <v>7.2137981987907544E-12</v>
      </c>
      <c r="AD37" s="10">
        <f t="shared" si="8"/>
        <v>7.7530296141503638E-12</v>
      </c>
      <c r="AE37" s="10">
        <f t="shared" si="8"/>
        <v>8.3325685778081028E-12</v>
      </c>
      <c r="AF37" s="10">
        <f t="shared" si="8"/>
        <v>8.9554280789992588E-12</v>
      </c>
      <c r="AG37" s="10">
        <f t="shared" si="8"/>
        <v>9.6248463279044525E-12</v>
      </c>
      <c r="AH37" s="10">
        <f t="shared" si="8"/>
        <v>1.0344303590915311E-11</v>
      </c>
      <c r="AI37" s="10">
        <f t="shared" si="8"/>
        <v>1.1117540284336231E-11</v>
      </c>
    </row>
    <row r="38" spans="2:35" x14ac:dyDescent="0.25">
      <c r="D38" s="11"/>
    </row>
    <row r="39" spans="2:35" x14ac:dyDescent="0.25">
      <c r="B39" t="s">
        <v>9</v>
      </c>
      <c r="D39" s="10">
        <f>D29+D34+D37</f>
        <v>153188.58498984543</v>
      </c>
      <c r="E39" s="3">
        <f t="shared" ref="E39:AI39" si="9">E29+E34+E37</f>
        <v>150721.41921783637</v>
      </c>
      <c r="F39" s="3">
        <f t="shared" si="9"/>
        <v>148069.83280436965</v>
      </c>
      <c r="G39" s="3">
        <f t="shared" si="9"/>
        <v>145220.04030649629</v>
      </c>
      <c r="H39" s="3">
        <f t="shared" si="9"/>
        <v>142157.22581940689</v>
      </c>
      <c r="I39" s="3">
        <f t="shared" si="9"/>
        <v>138865.46594940755</v>
      </c>
      <c r="J39" s="3">
        <f t="shared" si="9"/>
        <v>135327.64702912577</v>
      </c>
      <c r="K39" s="3">
        <f t="shared" si="9"/>
        <v>131525.37614455292</v>
      </c>
      <c r="L39" s="3">
        <f t="shared" si="9"/>
        <v>127438.88551135825</v>
      </c>
      <c r="M39" s="3">
        <f t="shared" si="9"/>
        <v>123046.92970333228</v>
      </c>
      <c r="N39" s="3">
        <f t="shared" si="9"/>
        <v>118326.67519865638</v>
      </c>
      <c r="O39" s="3">
        <f t="shared" si="9"/>
        <v>113253.58166975593</v>
      </c>
      <c r="P39" s="3">
        <f t="shared" si="9"/>
        <v>107801.27439957019</v>
      </c>
      <c r="Q39" s="3">
        <f t="shared" si="9"/>
        <v>101941.40716093806</v>
      </c>
      <c r="R39" s="3">
        <f t="shared" si="9"/>
        <v>95643.514846218182</v>
      </c>
      <c r="S39" s="3">
        <f t="shared" si="9"/>
        <v>88874.855080972993</v>
      </c>
      <c r="T39" s="3">
        <f t="shared" si="9"/>
        <v>81600.237998275727</v>
      </c>
      <c r="U39" s="3">
        <f t="shared" si="9"/>
        <v>73781.843288646836</v>
      </c>
      <c r="V39" s="3">
        <f t="shared" si="9"/>
        <v>65379.023574473191</v>
      </c>
      <c r="W39" s="3">
        <f t="shared" si="9"/>
        <v>56348.09308666506</v>
      </c>
      <c r="X39" s="3">
        <f t="shared" si="9"/>
        <v>46642.100544893277</v>
      </c>
      <c r="Y39" s="3">
        <f t="shared" si="9"/>
        <v>36210.585060624049</v>
      </c>
      <c r="Z39" s="3">
        <f t="shared" si="9"/>
        <v>24999.313793905698</v>
      </c>
      <c r="AA39" s="3">
        <f t="shared" si="9"/>
        <v>12950.000000000149</v>
      </c>
      <c r="AB39" s="3">
        <f t="shared" si="9"/>
        <v>1.6030662663979455E-10</v>
      </c>
      <c r="AC39" s="3">
        <f t="shared" si="9"/>
        <v>1.722895469811192E-10</v>
      </c>
      <c r="AD39" s="3">
        <f t="shared" si="9"/>
        <v>1.8516819061795786E-10</v>
      </c>
      <c r="AE39" s="3">
        <f t="shared" si="9"/>
        <v>1.990095128666502E-10</v>
      </c>
      <c r="AF39" s="3">
        <f t="shared" si="9"/>
        <v>2.138854739534323E-10</v>
      </c>
      <c r="AG39" s="3">
        <f t="shared" si="9"/>
        <v>2.2987341313145136E-10</v>
      </c>
      <c r="AH39" s="3">
        <f t="shared" si="9"/>
        <v>2.4705645076302736E-10</v>
      </c>
      <c r="AI39" s="3">
        <f t="shared" si="9"/>
        <v>2.6552392045756361E-10</v>
      </c>
    </row>
    <row r="40" spans="2:35" x14ac:dyDescent="0.25">
      <c r="D40" s="11"/>
    </row>
    <row r="41" spans="2:35" x14ac:dyDescent="0.25">
      <c r="B41" t="s">
        <v>61</v>
      </c>
      <c r="C41" s="2"/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2:35" x14ac:dyDescent="0.25">
      <c r="B42" t="s">
        <v>62</v>
      </c>
      <c r="C42" s="2">
        <v>3</v>
      </c>
      <c r="D42" s="1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2:35" x14ac:dyDescent="0.25">
      <c r="B43" t="s">
        <v>66</v>
      </c>
      <c r="C43" s="2">
        <f>C42*7</f>
        <v>21</v>
      </c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2:35" x14ac:dyDescent="0.25">
      <c r="C44" s="2"/>
      <c r="D44" s="1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2:35" x14ac:dyDescent="0.25">
      <c r="B45" t="s">
        <v>63</v>
      </c>
      <c r="C45" s="2">
        <v>350</v>
      </c>
      <c r="D45" s="1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2:35" x14ac:dyDescent="0.25">
      <c r="B46" t="s">
        <v>65</v>
      </c>
      <c r="C46" s="2">
        <v>150</v>
      </c>
      <c r="D46" s="1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2:35" x14ac:dyDescent="0.25">
      <c r="B47" t="s">
        <v>64</v>
      </c>
      <c r="C47" s="2">
        <v>200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2:35" x14ac:dyDescent="0.25">
      <c r="B48" t="s">
        <v>67</v>
      </c>
      <c r="C48" s="2">
        <v>200</v>
      </c>
      <c r="D48" s="1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2:36" x14ac:dyDescent="0.25">
      <c r="B49" t="s">
        <v>68</v>
      </c>
      <c r="C49" s="2">
        <v>2</v>
      </c>
      <c r="D49" s="1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2:36" x14ac:dyDescent="0.25">
      <c r="B50" t="s">
        <v>69</v>
      </c>
      <c r="C50" s="2">
        <v>3500</v>
      </c>
      <c r="D50" s="1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2:36" x14ac:dyDescent="0.25">
      <c r="C51" s="2"/>
      <c r="D51" s="1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2:36" x14ac:dyDescent="0.25">
      <c r="B52" t="s">
        <v>49</v>
      </c>
      <c r="C52" s="2">
        <f>(C43*(C45+C46+C47+C48)+(C49*C50))</f>
        <v>25900</v>
      </c>
      <c r="D52" s="1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2:36" x14ac:dyDescent="0.25">
      <c r="B53" t="s">
        <v>70</v>
      </c>
      <c r="C53" s="2">
        <v>2</v>
      </c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2:36" x14ac:dyDescent="0.25">
      <c r="B54" t="s">
        <v>49</v>
      </c>
      <c r="C54" s="2">
        <f>C52/C53</f>
        <v>12950</v>
      </c>
      <c r="D54" s="12">
        <f>IF(D23&lt;$C$6,C54,0)</f>
        <v>12950</v>
      </c>
      <c r="E54" s="12">
        <f>IF(E23&lt;$C$6,D54,0)</f>
        <v>12950</v>
      </c>
      <c r="F54" s="12">
        <f>IF(F23&lt;$C$6,E54,0)</f>
        <v>12950</v>
      </c>
      <c r="G54" s="12">
        <f>IF(G23&lt;$C$6,F54,0)</f>
        <v>12950</v>
      </c>
      <c r="H54" s="12">
        <f>IF(H23&lt;$C$6,G54,0)</f>
        <v>12950</v>
      </c>
      <c r="I54" s="12">
        <f>IF(I23&lt;$C$6,H54,0)</f>
        <v>12950</v>
      </c>
      <c r="J54" s="12">
        <f>IF(J23&lt;$C$6,I54,0)</f>
        <v>12950</v>
      </c>
      <c r="K54" s="12">
        <f>IF(K23&lt;$C$6,J54,0)</f>
        <v>12950</v>
      </c>
      <c r="L54" s="12">
        <f>IF(L23&lt;$C$6,K54,0)</f>
        <v>12950</v>
      </c>
      <c r="M54" s="12">
        <f>IF(M23&lt;$C$6,L54,0)</f>
        <v>12950</v>
      </c>
      <c r="N54" s="12">
        <f>IF(N23&lt;$C$6,M54,0)</f>
        <v>12950</v>
      </c>
      <c r="O54" s="12">
        <f>IF(O23&lt;$C$6,N54,0)</f>
        <v>12950</v>
      </c>
      <c r="P54" s="12">
        <f>IF(P23&lt;$C$6,O54,0)</f>
        <v>12950</v>
      </c>
      <c r="Q54" s="12">
        <f>IF(Q23&lt;$C$6,P54,0)</f>
        <v>12950</v>
      </c>
      <c r="R54" s="12">
        <f>IF(R23&lt;$C$6,Q54,0)</f>
        <v>12950</v>
      </c>
      <c r="S54" s="12">
        <f>IF(S23&lt;$C$6,R54,0)</f>
        <v>12950</v>
      </c>
      <c r="T54" s="12">
        <f>IF(T23&lt;$C$6,S54,0)</f>
        <v>12950</v>
      </c>
      <c r="U54" s="12">
        <f>IF(U23&lt;$C$6,T54,0)</f>
        <v>12950</v>
      </c>
      <c r="V54" s="12">
        <f>IF(V23&lt;$C$6,U54,0)</f>
        <v>12950</v>
      </c>
      <c r="W54" s="12">
        <f>IF(W23&lt;$C$6,V54,0)</f>
        <v>12950</v>
      </c>
      <c r="X54" s="12">
        <f>IF(X23&lt;$C$6,W54,0)</f>
        <v>12950</v>
      </c>
      <c r="Y54" s="12">
        <f>IF(Y23&lt;$C$6,X54,0)</f>
        <v>12950</v>
      </c>
      <c r="Z54" s="12">
        <f>IF(Z23&lt;$C$6,Y54,0)</f>
        <v>12950</v>
      </c>
      <c r="AA54" s="12">
        <f>IF(AA23&lt;$C$6,Z54,0)</f>
        <v>12950</v>
      </c>
      <c r="AB54" s="12">
        <f>IF(AB23&lt;$C$6,AA54,0)</f>
        <v>0</v>
      </c>
      <c r="AC54" s="12">
        <f>IF(AC23&lt;$C$6,AB54,0)</f>
        <v>0</v>
      </c>
      <c r="AD54" s="12">
        <f>IF(AD23&lt;$C$6,AC54,0)</f>
        <v>0</v>
      </c>
      <c r="AE54" s="12">
        <f>IF(AE23&lt;$C$6,AD54,0)</f>
        <v>0</v>
      </c>
      <c r="AF54" s="12">
        <f>IF(AF23&lt;$C$6,AE54,0)</f>
        <v>0</v>
      </c>
      <c r="AG54" s="12">
        <f>IF(AG23&lt;$C$6,AF54,0)</f>
        <v>0</v>
      </c>
      <c r="AH54" s="12">
        <f>IF(AH23&lt;$C$6,AG54,0)</f>
        <v>0</v>
      </c>
      <c r="AI54" s="12">
        <f>IF(AI23&lt;$C$6,AH54,0)</f>
        <v>0</v>
      </c>
    </row>
    <row r="55" spans="2:36" x14ac:dyDescent="0.25">
      <c r="C55" s="2"/>
      <c r="D55" s="1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2:36" x14ac:dyDescent="0.25">
      <c r="B56" t="s">
        <v>16</v>
      </c>
      <c r="C56" s="2"/>
      <c r="D56" s="6">
        <f>D39-D54</f>
        <v>140238.58498984543</v>
      </c>
      <c r="E56" s="6">
        <f t="shared" ref="E56:AI56" si="10">E39-E54</f>
        <v>137771.41921783637</v>
      </c>
      <c r="F56" s="6">
        <f t="shared" si="10"/>
        <v>135119.83280436965</v>
      </c>
      <c r="G56" s="6">
        <f t="shared" si="10"/>
        <v>132270.04030649629</v>
      </c>
      <c r="H56" s="6">
        <f t="shared" si="10"/>
        <v>129207.22581940689</v>
      </c>
      <c r="I56" s="6">
        <f t="shared" si="10"/>
        <v>125915.46594940755</v>
      </c>
      <c r="J56" s="6">
        <f t="shared" si="10"/>
        <v>122377.64702912577</v>
      </c>
      <c r="K56" s="6">
        <f t="shared" si="10"/>
        <v>118575.37614455292</v>
      </c>
      <c r="L56" s="6">
        <f t="shared" si="10"/>
        <v>114488.88551135825</v>
      </c>
      <c r="M56" s="6">
        <f t="shared" si="10"/>
        <v>110096.92970333228</v>
      </c>
      <c r="N56" s="6">
        <f t="shared" si="10"/>
        <v>105376.67519865638</v>
      </c>
      <c r="O56" s="6">
        <f t="shared" si="10"/>
        <v>100303.58166975593</v>
      </c>
      <c r="P56" s="6">
        <f t="shared" si="10"/>
        <v>94851.274399570189</v>
      </c>
      <c r="Q56" s="6">
        <f t="shared" si="10"/>
        <v>88991.407160938063</v>
      </c>
      <c r="R56" s="6">
        <f t="shared" si="10"/>
        <v>82693.514846218182</v>
      </c>
      <c r="S56" s="6">
        <f t="shared" si="10"/>
        <v>75924.855080972993</v>
      </c>
      <c r="T56" s="6">
        <f t="shared" si="10"/>
        <v>68650.237998275727</v>
      </c>
      <c r="U56" s="6">
        <f t="shared" si="10"/>
        <v>60831.843288646836</v>
      </c>
      <c r="V56" s="6">
        <f t="shared" si="10"/>
        <v>52429.023574473191</v>
      </c>
      <c r="W56" s="6">
        <f t="shared" si="10"/>
        <v>43398.09308666506</v>
      </c>
      <c r="X56" s="6">
        <f t="shared" si="10"/>
        <v>33692.100544893277</v>
      </c>
      <c r="Y56" s="6">
        <f t="shared" si="10"/>
        <v>23260.585060624049</v>
      </c>
      <c r="Z56" s="6">
        <f t="shared" si="10"/>
        <v>12049.313793905698</v>
      </c>
      <c r="AA56" s="6">
        <f t="shared" si="10"/>
        <v>1.4915713109076023E-10</v>
      </c>
      <c r="AB56" s="6">
        <f t="shared" si="10"/>
        <v>1.6030662663979455E-10</v>
      </c>
      <c r="AC56" s="6">
        <f t="shared" si="10"/>
        <v>1.722895469811192E-10</v>
      </c>
      <c r="AD56" s="6">
        <f t="shared" si="10"/>
        <v>1.8516819061795786E-10</v>
      </c>
      <c r="AE56" s="6">
        <f t="shared" si="10"/>
        <v>1.990095128666502E-10</v>
      </c>
      <c r="AF56" s="6">
        <f t="shared" si="10"/>
        <v>2.138854739534323E-10</v>
      </c>
      <c r="AG56" s="6">
        <f t="shared" si="10"/>
        <v>2.2987341313145136E-10</v>
      </c>
      <c r="AH56" s="6">
        <f t="shared" si="10"/>
        <v>2.4705645076302736E-10</v>
      </c>
      <c r="AI56" s="6">
        <f t="shared" si="10"/>
        <v>2.6552392045756361E-10</v>
      </c>
    </row>
    <row r="57" spans="2:36" x14ac:dyDescent="0.25">
      <c r="B57" t="s">
        <v>11</v>
      </c>
      <c r="D57" s="9">
        <f>C16</f>
        <v>0.03</v>
      </c>
      <c r="E57" s="1">
        <f>D57</f>
        <v>0.03</v>
      </c>
      <c r="F57" s="1">
        <f t="shared" ref="F57:AI57" si="11">E57</f>
        <v>0.03</v>
      </c>
      <c r="G57" s="1">
        <f t="shared" si="11"/>
        <v>0.03</v>
      </c>
      <c r="H57" s="1">
        <f t="shared" si="11"/>
        <v>0.03</v>
      </c>
      <c r="I57" s="1">
        <f t="shared" si="11"/>
        <v>0.03</v>
      </c>
      <c r="J57" s="1">
        <f t="shared" si="11"/>
        <v>0.03</v>
      </c>
      <c r="K57" s="1">
        <f t="shared" si="11"/>
        <v>0.03</v>
      </c>
      <c r="L57" s="1">
        <f t="shared" si="11"/>
        <v>0.03</v>
      </c>
      <c r="M57" s="1">
        <f t="shared" si="11"/>
        <v>0.03</v>
      </c>
      <c r="N57" s="1">
        <f t="shared" si="11"/>
        <v>0.03</v>
      </c>
      <c r="O57" s="1">
        <f t="shared" si="11"/>
        <v>0.03</v>
      </c>
      <c r="P57" s="1">
        <f t="shared" si="11"/>
        <v>0.03</v>
      </c>
      <c r="Q57" s="1">
        <f t="shared" si="11"/>
        <v>0.03</v>
      </c>
      <c r="R57" s="1">
        <f t="shared" si="11"/>
        <v>0.03</v>
      </c>
      <c r="S57" s="1">
        <f t="shared" si="11"/>
        <v>0.03</v>
      </c>
      <c r="T57" s="1">
        <f t="shared" si="11"/>
        <v>0.03</v>
      </c>
      <c r="U57" s="1">
        <f t="shared" si="11"/>
        <v>0.03</v>
      </c>
      <c r="V57" s="1">
        <f t="shared" si="11"/>
        <v>0.03</v>
      </c>
      <c r="W57" s="1">
        <f t="shared" si="11"/>
        <v>0.03</v>
      </c>
      <c r="X57" s="1">
        <f t="shared" si="11"/>
        <v>0.03</v>
      </c>
      <c r="Y57" s="1">
        <f t="shared" si="11"/>
        <v>0.03</v>
      </c>
      <c r="Z57" s="1">
        <f t="shared" si="11"/>
        <v>0.03</v>
      </c>
      <c r="AA57" s="1">
        <f t="shared" si="11"/>
        <v>0.03</v>
      </c>
      <c r="AB57" s="1">
        <f t="shared" si="11"/>
        <v>0.03</v>
      </c>
      <c r="AC57" s="1">
        <f t="shared" si="11"/>
        <v>0.03</v>
      </c>
      <c r="AD57" s="1">
        <f t="shared" si="11"/>
        <v>0.03</v>
      </c>
      <c r="AE57" s="1">
        <f t="shared" si="11"/>
        <v>0.03</v>
      </c>
      <c r="AF57" s="1">
        <f t="shared" si="11"/>
        <v>0.03</v>
      </c>
      <c r="AG57" s="1">
        <f t="shared" si="11"/>
        <v>0.03</v>
      </c>
      <c r="AH57" s="1">
        <f t="shared" si="11"/>
        <v>0.03</v>
      </c>
      <c r="AI57" s="1">
        <f t="shared" si="11"/>
        <v>0.03</v>
      </c>
    </row>
    <row r="58" spans="2:36" x14ac:dyDescent="0.25">
      <c r="B58" s="11"/>
      <c r="C58" s="1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2:36" x14ac:dyDescent="0.25">
      <c r="B59" s="11" t="s">
        <v>14</v>
      </c>
      <c r="C59" s="11"/>
      <c r="D59" s="9">
        <f>C15</f>
        <v>1.0999999999999999E-2</v>
      </c>
      <c r="E59" s="1">
        <f>D59</f>
        <v>1.0999999999999999E-2</v>
      </c>
      <c r="F59" s="1">
        <f t="shared" ref="F59:AI59" si="12">E59</f>
        <v>1.0999999999999999E-2</v>
      </c>
      <c r="G59" s="1">
        <f t="shared" si="12"/>
        <v>1.0999999999999999E-2</v>
      </c>
      <c r="H59" s="1">
        <f t="shared" si="12"/>
        <v>1.0999999999999999E-2</v>
      </c>
      <c r="I59" s="1">
        <f t="shared" si="12"/>
        <v>1.0999999999999999E-2</v>
      </c>
      <c r="J59" s="1">
        <f t="shared" si="12"/>
        <v>1.0999999999999999E-2</v>
      </c>
      <c r="K59" s="1">
        <f t="shared" si="12"/>
        <v>1.0999999999999999E-2</v>
      </c>
      <c r="L59" s="1">
        <f t="shared" si="12"/>
        <v>1.0999999999999999E-2</v>
      </c>
      <c r="M59" s="1">
        <f t="shared" si="12"/>
        <v>1.0999999999999999E-2</v>
      </c>
      <c r="N59" s="1">
        <f t="shared" si="12"/>
        <v>1.0999999999999999E-2</v>
      </c>
      <c r="O59" s="1">
        <f t="shared" si="12"/>
        <v>1.0999999999999999E-2</v>
      </c>
      <c r="P59" s="1">
        <f t="shared" si="12"/>
        <v>1.0999999999999999E-2</v>
      </c>
      <c r="Q59" s="1">
        <f t="shared" si="12"/>
        <v>1.0999999999999999E-2</v>
      </c>
      <c r="R59" s="1">
        <f t="shared" si="12"/>
        <v>1.0999999999999999E-2</v>
      </c>
      <c r="S59" s="1">
        <f t="shared" si="12"/>
        <v>1.0999999999999999E-2</v>
      </c>
      <c r="T59" s="1">
        <f t="shared" si="12"/>
        <v>1.0999999999999999E-2</v>
      </c>
      <c r="U59" s="1">
        <f t="shared" si="12"/>
        <v>1.0999999999999999E-2</v>
      </c>
      <c r="V59" s="1">
        <f t="shared" si="12"/>
        <v>1.0999999999999999E-2</v>
      </c>
      <c r="W59" s="1">
        <f t="shared" si="12"/>
        <v>1.0999999999999999E-2</v>
      </c>
      <c r="X59" s="1">
        <f t="shared" si="12"/>
        <v>1.0999999999999999E-2</v>
      </c>
      <c r="Y59" s="1">
        <f t="shared" si="12"/>
        <v>1.0999999999999999E-2</v>
      </c>
      <c r="Z59" s="1">
        <f t="shared" si="12"/>
        <v>1.0999999999999999E-2</v>
      </c>
      <c r="AA59" s="1">
        <f t="shared" si="12"/>
        <v>1.0999999999999999E-2</v>
      </c>
      <c r="AB59" s="1">
        <f t="shared" si="12"/>
        <v>1.0999999999999999E-2</v>
      </c>
      <c r="AC59" s="1">
        <f t="shared" si="12"/>
        <v>1.0999999999999999E-2</v>
      </c>
      <c r="AD59" s="1">
        <f t="shared" si="12"/>
        <v>1.0999999999999999E-2</v>
      </c>
      <c r="AE59" s="1">
        <f t="shared" si="12"/>
        <v>1.0999999999999999E-2</v>
      </c>
      <c r="AF59" s="1">
        <f t="shared" si="12"/>
        <v>1.0999999999999999E-2</v>
      </c>
      <c r="AG59" s="1">
        <f t="shared" si="12"/>
        <v>1.0999999999999999E-2</v>
      </c>
      <c r="AH59" s="1">
        <f t="shared" si="12"/>
        <v>1.0999999999999999E-2</v>
      </c>
      <c r="AI59" s="1">
        <f t="shared" si="12"/>
        <v>1.0999999999999999E-2</v>
      </c>
    </row>
    <row r="60" spans="2:36" x14ac:dyDescent="0.25">
      <c r="B60" s="11" t="s">
        <v>15</v>
      </c>
      <c r="D60" s="2">
        <f>IF((D59*D29)&lt;0,0,(D59*D29))</f>
        <v>1567.8757244831818</v>
      </c>
      <c r="E60" s="2">
        <f>IF((E59*E29)&lt;0,0,(E59*E29))</f>
        <v>1542.6244348882997</v>
      </c>
      <c r="F60" s="2">
        <f>IF((F59*F29)&lt;0,0,(F59*F29))</f>
        <v>1515.4856113962001</v>
      </c>
      <c r="G60" s="2">
        <f>IF((G59*G29)&lt;0,0,(G59*G29))</f>
        <v>1486.3181608480661</v>
      </c>
      <c r="H60" s="2">
        <f>IF((H59*H29)&lt;0,0,(H59*H29))</f>
        <v>1454.9704433714592</v>
      </c>
      <c r="I60" s="2">
        <f>IF((I59*I29)&lt;0,0,(I59*I29))</f>
        <v>1421.2794840134757</v>
      </c>
      <c r="J60" s="2">
        <f>IF((J59*J29)&lt;0,0,(J59*J29))</f>
        <v>1385.070125443483</v>
      </c>
      <c r="K60" s="2">
        <f>IF((K59*K29)&lt;0,0,(K59*K29))</f>
        <v>1346.1541173203834</v>
      </c>
      <c r="L60" s="2">
        <f>IF((L59*L29)&lt;0,0,(L59*L29))</f>
        <v>1304.3291375900822</v>
      </c>
      <c r="M60" s="2">
        <f>IF((M59*M29)&lt;0,0,(M59*M29))</f>
        <v>1259.3777406249408</v>
      </c>
      <c r="N60" s="2">
        <f>IF((N59*N29)&lt;0,0,(N59*N29))</f>
        <v>1211.0662267366549</v>
      </c>
      <c r="O60" s="2">
        <f>IF((O59*O29)&lt;0,0,(O59*O29))</f>
        <v>1159.1434271852202</v>
      </c>
      <c r="P60" s="2">
        <f>IF((P59*P29)&lt;0,0,(P59*P29))</f>
        <v>1103.3393983673152</v>
      </c>
      <c r="Q60" s="2">
        <f>IF((Q59*Q29)&lt;0,0,(Q59*Q29))</f>
        <v>1043.3640183952721</v>
      </c>
      <c r="R60" s="2">
        <f>IF((R59*R29)&lt;0,0,(R59*R29))</f>
        <v>978.90547877031861</v>
      </c>
      <c r="S60" s="2">
        <f>IF((S59*S29)&lt;0,0,(S59*S29))</f>
        <v>909.62866330839995</v>
      </c>
      <c r="T60" s="2">
        <f>IF((T59*T29)&lt;0,0,(T59*T29))</f>
        <v>835.17340589070284</v>
      </c>
      <c r="U60" s="2">
        <f>IF((U59*U29)&lt;0,0,(U59*U29))</f>
        <v>755.1526179810329</v>
      </c>
      <c r="V60" s="2">
        <f>IF((V59*V29)&lt;0,0,(V59*V29))</f>
        <v>669.15027617511521</v>
      </c>
      <c r="W60" s="2">
        <f>IF((W59*W29)&lt;0,0,(W59*W29))</f>
        <v>576.71925931920509</v>
      </c>
      <c r="X60" s="2">
        <f>IF((X59*X29)&lt;0,0,(X59*X29))</f>
        <v>477.37902395331565</v>
      </c>
      <c r="Y60" s="2">
        <f>IF((Y59*Y29)&lt;0,0,(Y59*Y29))</f>
        <v>370.61310599382603</v>
      </c>
      <c r="Z60" s="2">
        <f>IF((Z59*Z29)&lt;0,0,(Z59*Z29))</f>
        <v>255.86643566686453</v>
      </c>
      <c r="AA60" s="2">
        <f>IF((AA59*AA29)&lt;0,0,(AA59*AA29))</f>
        <v>132.54245173296266</v>
      </c>
      <c r="AB60" s="2">
        <f>IF((AB59*AB29)&lt;0,0,(AB59*AB29))</f>
        <v>1.6407284419983624E-12</v>
      </c>
      <c r="AC60" s="2">
        <f>IF((AC59*AC29)&lt;0,0,(AC59*AC29))</f>
        <v>1.76337289303774E-12</v>
      </c>
      <c r="AD60" s="2">
        <f>IF((AD59*AD29)&lt;0,0,(AD59*AD29))</f>
        <v>1.895185016792311E-12</v>
      </c>
      <c r="AE60" s="2">
        <f>IF((AE59*AE29)&lt;0,0,(AE59*AE29))</f>
        <v>2.0368500967975361E-12</v>
      </c>
      <c r="AF60" s="2">
        <f>IF((AF59*AF29)&lt;0,0,(AF59*AF29))</f>
        <v>2.189104641533152E-12</v>
      </c>
      <c r="AG60" s="2">
        <f>IF((AG59*AG29)&lt;0,0,(AG59*AG29))</f>
        <v>2.3527402134877551E-12</v>
      </c>
      <c r="AH60" s="2">
        <f>IF((AH59*AH29)&lt;0,0,(AH59*AH29))</f>
        <v>2.5286075444459647E-12</v>
      </c>
      <c r="AI60" s="2">
        <f>IF((AI59*AI29)&lt;0,0,(AI59*AI29))</f>
        <v>2.7176209583933007E-12</v>
      </c>
      <c r="AJ60" s="4" t="e">
        <f>AI60/AI62</f>
        <v>#DIV/0!</v>
      </c>
    </row>
    <row r="61" spans="2:36" x14ac:dyDescent="0.25">
      <c r="B61" s="11"/>
    </row>
    <row r="62" spans="2:36" x14ac:dyDescent="0.25">
      <c r="B62" t="s">
        <v>17</v>
      </c>
      <c r="D62" s="3">
        <f>IF(D23&lt;=$C$66,(D56+D60),0)</f>
        <v>0</v>
      </c>
      <c r="E62" s="3">
        <f>IF(E23&lt;=$C$66,(E56+E60),0)</f>
        <v>0</v>
      </c>
      <c r="F62" s="3">
        <f>IF(F23&lt;=$C$66,(F56+F60),0)</f>
        <v>0</v>
      </c>
      <c r="G62" s="3">
        <f>IF(G23&lt;=$C$66,(G56+G60),0)</f>
        <v>0</v>
      </c>
      <c r="H62" s="3">
        <f>IF(H23&lt;=$C$66,(H56+H60),0)</f>
        <v>0</v>
      </c>
      <c r="I62" s="3">
        <f>IF(I23&lt;=$C$66,(I56+I60),0)</f>
        <v>0</v>
      </c>
      <c r="J62" s="3">
        <f>IF(J23&lt;=$C$66,(J56+J60),0)</f>
        <v>0</v>
      </c>
      <c r="K62" s="3">
        <f>IF(K23&lt;=$C$66,(K56+K60),0)</f>
        <v>0</v>
      </c>
      <c r="L62" s="3">
        <f>IF(L23&lt;=$C$66,(L56+L60),0)</f>
        <v>0</v>
      </c>
      <c r="M62" s="3">
        <f>IF(M23&lt;=$C$66,(M56+M60),0)</f>
        <v>0</v>
      </c>
      <c r="N62" s="3">
        <f>IF(N23&lt;=$C$66,(N56+N60),0)</f>
        <v>0</v>
      </c>
      <c r="O62" s="3">
        <f>IF(O23&lt;=$C$66,(O56+O60),0)</f>
        <v>0</v>
      </c>
      <c r="P62" s="3">
        <f>IF(P23&lt;=$C$66,(P56+P60),0)</f>
        <v>0</v>
      </c>
      <c r="Q62" s="3">
        <f>IF(Q23&lt;=$C$66,(Q56+Q60),0)</f>
        <v>0</v>
      </c>
      <c r="R62" s="3">
        <f>IF(R23&lt;=$C$66,(R56+R60),0)</f>
        <v>0</v>
      </c>
      <c r="S62" s="3">
        <f>IF(S23&lt;=$C$66,(S56+S60),0)</f>
        <v>0</v>
      </c>
      <c r="T62" s="3">
        <f>IF(T23&lt;=$C$66,(T56+T60),0)</f>
        <v>0</v>
      </c>
      <c r="U62" s="3">
        <f>IF(U23&lt;=$C$66,(U56+U60),0)</f>
        <v>0</v>
      </c>
      <c r="V62" s="3">
        <f>IF(V23&lt;=$C$66,(V56+V60),0)</f>
        <v>0</v>
      </c>
      <c r="W62" s="3">
        <f>IF(W23&lt;=$C$66,(W56+W60),0)</f>
        <v>0</v>
      </c>
      <c r="X62" s="3">
        <f>IF(X23&lt;=$C$66,(X56+X60),0)</f>
        <v>0</v>
      </c>
      <c r="Y62" s="3">
        <f>IF(Y23&lt;=$C$66,(Y56+Y60),0)</f>
        <v>0</v>
      </c>
      <c r="Z62" s="3">
        <f>IF(Z23&lt;=$C$66,(Z56+Z60),0)</f>
        <v>0</v>
      </c>
      <c r="AA62" s="3">
        <f>IF(AA23&lt;=$C$66,(AA56+AA60),0)</f>
        <v>0</v>
      </c>
      <c r="AB62" s="3">
        <f>IF(AB23&lt;=$C$66,(AB56+AB60),0)</f>
        <v>0</v>
      </c>
      <c r="AC62" s="3">
        <f>IF(AC23&lt;=$C$66,(AC56+AC60),0)</f>
        <v>0</v>
      </c>
      <c r="AD62" s="3">
        <f>IF(AD23&lt;=$C$66,(AD56+AD60),0)</f>
        <v>0</v>
      </c>
      <c r="AE62" s="3">
        <f>IF(AE23&lt;=$C$66,(AE56+AE60),0)</f>
        <v>0</v>
      </c>
      <c r="AF62" s="3">
        <f>IF(AF23&lt;=$C$66,(AF56+AF60),0)</f>
        <v>0</v>
      </c>
      <c r="AG62" s="3">
        <f>IF(AG23&lt;=$C$66,(AG56+AG60),0)</f>
        <v>0</v>
      </c>
      <c r="AH62" s="3">
        <f>IF(AH23&lt;=$C$66,(AH56+AH60),0)</f>
        <v>0</v>
      </c>
      <c r="AI62" s="3">
        <f>IF(AI23&lt;=$C$66,(AI56+AI60),0)</f>
        <v>0</v>
      </c>
    </row>
    <row r="63" spans="2:36" x14ac:dyDescent="0.25">
      <c r="B63" s="11"/>
    </row>
    <row r="64" spans="2:36" x14ac:dyDescent="0.25">
      <c r="B64" t="s">
        <v>10</v>
      </c>
      <c r="D64" s="3">
        <f>D39-D56</f>
        <v>12950</v>
      </c>
      <c r="E64" s="3">
        <f>E39-E56</f>
        <v>12950</v>
      </c>
      <c r="F64" s="3">
        <f>F39-F56</f>
        <v>12950</v>
      </c>
      <c r="G64" s="3">
        <f>G39-G56</f>
        <v>12950</v>
      </c>
      <c r="H64" s="3">
        <f>H39-H56</f>
        <v>12950</v>
      </c>
      <c r="I64" s="3">
        <f>I39-I56</f>
        <v>12950</v>
      </c>
      <c r="J64" s="3">
        <f>J39-J56</f>
        <v>12950</v>
      </c>
      <c r="K64" s="3">
        <f>K39-K56</f>
        <v>12950</v>
      </c>
      <c r="L64" s="3">
        <f>L39-L56</f>
        <v>12950</v>
      </c>
      <c r="M64" s="3">
        <f>M39-M56</f>
        <v>12950</v>
      </c>
      <c r="N64" s="3">
        <f>N39-N56</f>
        <v>12950</v>
      </c>
      <c r="O64" s="3">
        <f>O39-O56</f>
        <v>12950</v>
      </c>
      <c r="P64" s="3">
        <f>P39-P56</f>
        <v>12950</v>
      </c>
      <c r="Q64" s="3">
        <f>Q39-Q56</f>
        <v>12950</v>
      </c>
      <c r="R64" s="3">
        <f>R39-R56</f>
        <v>12950</v>
      </c>
      <c r="S64" s="3">
        <f>S39-S56</f>
        <v>12950</v>
      </c>
      <c r="T64" s="3">
        <f>T39-T56</f>
        <v>12950</v>
      </c>
      <c r="U64" s="3">
        <f>U39-U56</f>
        <v>12950</v>
      </c>
      <c r="V64" s="3">
        <f>V39-V56</f>
        <v>12950</v>
      </c>
      <c r="W64" s="3">
        <f>W39-W56</f>
        <v>12950</v>
      </c>
      <c r="X64" s="3">
        <f>X39-X56</f>
        <v>12950</v>
      </c>
      <c r="Y64" s="3">
        <f>Y39-Y56</f>
        <v>12950</v>
      </c>
      <c r="Z64" s="3">
        <f>Z39-Z56</f>
        <v>12950</v>
      </c>
      <c r="AA64" s="3">
        <f>AA39-AA56</f>
        <v>12950</v>
      </c>
      <c r="AB64" s="3">
        <f>AB39-AB56</f>
        <v>0</v>
      </c>
      <c r="AC64" s="3">
        <f>AC39-AC56</f>
        <v>0</v>
      </c>
      <c r="AD64" s="3">
        <f>AD39-AD56</f>
        <v>0</v>
      </c>
      <c r="AE64" s="3">
        <f>AE39-AE56</f>
        <v>0</v>
      </c>
      <c r="AF64" s="3">
        <f>AF39-AF56</f>
        <v>0</v>
      </c>
      <c r="AG64" s="3">
        <f>AG39-AG56</f>
        <v>0</v>
      </c>
      <c r="AH64" s="3">
        <f>AH39-AH56</f>
        <v>0</v>
      </c>
      <c r="AI64" s="3">
        <f>AI39-AI56</f>
        <v>0</v>
      </c>
    </row>
    <row r="66" spans="2:5" x14ac:dyDescent="0.25">
      <c r="B66" t="s">
        <v>37</v>
      </c>
      <c r="D66">
        <f>D23</f>
        <v>2026</v>
      </c>
    </row>
    <row r="67" spans="2:5" x14ac:dyDescent="0.25">
      <c r="B67" t="s">
        <v>38</v>
      </c>
      <c r="D67" s="8">
        <f>D29</f>
        <v>142534.15677119835</v>
      </c>
      <c r="E67" t="s">
        <v>39</v>
      </c>
    </row>
    <row r="68" spans="2:5" x14ac:dyDescent="0.25">
      <c r="B68" t="s">
        <v>40</v>
      </c>
    </row>
    <row r="69" spans="2:5" x14ac:dyDescent="0.25">
      <c r="B69" t="s">
        <v>23</v>
      </c>
      <c r="C69" s="11"/>
      <c r="D69" s="7" t="s">
        <v>33</v>
      </c>
      <c r="E69" t="s">
        <v>34</v>
      </c>
    </row>
    <row r="70" spans="2:5" x14ac:dyDescent="0.25">
      <c r="B70" t="s">
        <v>25</v>
      </c>
      <c r="C70" s="11"/>
      <c r="D70" s="11"/>
    </row>
    <row r="71" spans="2:5" x14ac:dyDescent="0.25">
      <c r="B71" t="s">
        <v>2</v>
      </c>
      <c r="C71" s="9"/>
      <c r="D71" s="5">
        <v>3.5000000000000003E-2</v>
      </c>
    </row>
    <row r="72" spans="2:5" x14ac:dyDescent="0.25">
      <c r="B72" t="s">
        <v>7</v>
      </c>
      <c r="C72" s="9"/>
      <c r="D72" s="5">
        <v>4.4999999999999998E-2</v>
      </c>
    </row>
    <row r="74" spans="2:5" x14ac:dyDescent="0.25">
      <c r="B74" s="7" t="s">
        <v>41</v>
      </c>
    </row>
    <row r="75" spans="2:5" s="11" customFormat="1" x14ac:dyDescent="0.25">
      <c r="B75" s="11" t="s">
        <v>35</v>
      </c>
      <c r="C75" s="11">
        <v>2026</v>
      </c>
    </row>
    <row r="76" spans="2:5" x14ac:dyDescent="0.25">
      <c r="B76" t="s">
        <v>12</v>
      </c>
      <c r="C76" s="7">
        <v>1</v>
      </c>
    </row>
    <row r="77" spans="2:5" x14ac:dyDescent="0.25">
      <c r="B77" t="s">
        <v>27</v>
      </c>
      <c r="C77" s="7">
        <v>5</v>
      </c>
    </row>
    <row r="78" spans="2:5" x14ac:dyDescent="0.25">
      <c r="B78" t="s">
        <v>13</v>
      </c>
      <c r="C78" s="11">
        <f>C75+C77</f>
        <v>2031</v>
      </c>
    </row>
    <row r="79" spans="2:5" x14ac:dyDescent="0.25">
      <c r="B79" t="s">
        <v>19</v>
      </c>
      <c r="C79" s="6">
        <v>65</v>
      </c>
    </row>
    <row r="80" spans="2:5" x14ac:dyDescent="0.25">
      <c r="B80" t="s">
        <v>20</v>
      </c>
      <c r="C80" s="6">
        <v>62</v>
      </c>
    </row>
    <row r="81" spans="2:13" x14ac:dyDescent="0.25">
      <c r="B81" t="s">
        <v>4</v>
      </c>
      <c r="C81" s="5">
        <v>0</v>
      </c>
    </row>
    <row r="82" spans="2:13" x14ac:dyDescent="0.25">
      <c r="B82" t="s">
        <v>18</v>
      </c>
      <c r="C82" s="5">
        <v>1.0999999999999999E-2</v>
      </c>
    </row>
    <row r="83" spans="2:13" x14ac:dyDescent="0.25">
      <c r="B83" t="s">
        <v>21</v>
      </c>
      <c r="C83" s="5">
        <v>0.03</v>
      </c>
    </row>
    <row r="84" spans="2:13" x14ac:dyDescent="0.25">
      <c r="C84" s="11"/>
    </row>
    <row r="85" spans="2:13" x14ac:dyDescent="0.25">
      <c r="B85" t="s">
        <v>23</v>
      </c>
      <c r="C85" s="7" t="str">
        <f>C18</f>
        <v>Balanced</v>
      </c>
      <c r="D85" t="s">
        <v>34</v>
      </c>
    </row>
    <row r="86" spans="2:13" x14ac:dyDescent="0.25">
      <c r="B86" t="s">
        <v>25</v>
      </c>
      <c r="C86" s="11"/>
    </row>
    <row r="87" spans="2:13" x14ac:dyDescent="0.25">
      <c r="B87" t="s">
        <v>2</v>
      </c>
      <c r="C87" s="5">
        <f>C20</f>
        <v>3.5000000000000003E-2</v>
      </c>
    </row>
    <row r="88" spans="2:13" x14ac:dyDescent="0.25">
      <c r="B88" t="s">
        <v>7</v>
      </c>
      <c r="C88" s="5">
        <f>C21</f>
        <v>4.4999999999999998E-2</v>
      </c>
    </row>
    <row r="90" spans="2:13" x14ac:dyDescent="0.25">
      <c r="B90" s="11" t="s">
        <v>28</v>
      </c>
      <c r="D90" s="11">
        <f>C75</f>
        <v>2026</v>
      </c>
      <c r="E90">
        <f>D90+1</f>
        <v>2027</v>
      </c>
      <c r="F90">
        <f t="shared" ref="F90:M93" si="13">E90+1</f>
        <v>2028</v>
      </c>
      <c r="G90">
        <f t="shared" si="13"/>
        <v>2029</v>
      </c>
      <c r="H90">
        <f t="shared" si="13"/>
        <v>2030</v>
      </c>
      <c r="I90">
        <f t="shared" si="13"/>
        <v>2031</v>
      </c>
      <c r="J90">
        <f t="shared" si="13"/>
        <v>2032</v>
      </c>
      <c r="K90">
        <f t="shared" si="13"/>
        <v>2033</v>
      </c>
      <c r="L90">
        <f t="shared" si="13"/>
        <v>2034</v>
      </c>
      <c r="M90">
        <f t="shared" si="13"/>
        <v>2035</v>
      </c>
    </row>
    <row r="91" spans="2:13" x14ac:dyDescent="0.25">
      <c r="B91" t="s">
        <v>3</v>
      </c>
      <c r="D91">
        <v>0</v>
      </c>
      <c r="E91">
        <f>D91+1</f>
        <v>1</v>
      </c>
      <c r="F91">
        <f t="shared" si="13"/>
        <v>2</v>
      </c>
      <c r="G91">
        <f t="shared" si="13"/>
        <v>3</v>
      </c>
      <c r="H91">
        <f t="shared" si="13"/>
        <v>4</v>
      </c>
      <c r="I91">
        <f t="shared" si="13"/>
        <v>5</v>
      </c>
      <c r="J91">
        <f t="shared" si="13"/>
        <v>6</v>
      </c>
      <c r="K91">
        <f t="shared" si="13"/>
        <v>7</v>
      </c>
      <c r="L91">
        <f t="shared" si="13"/>
        <v>8</v>
      </c>
      <c r="M91" s="7">
        <f t="shared" si="13"/>
        <v>9</v>
      </c>
    </row>
    <row r="92" spans="2:13" x14ac:dyDescent="0.25">
      <c r="B92" t="s">
        <v>19</v>
      </c>
      <c r="D92" s="3">
        <f>C79</f>
        <v>65</v>
      </c>
      <c r="E92" s="3">
        <f>D92+1</f>
        <v>66</v>
      </c>
      <c r="F92" s="3">
        <f t="shared" si="13"/>
        <v>67</v>
      </c>
      <c r="G92" s="3">
        <f t="shared" si="13"/>
        <v>68</v>
      </c>
      <c r="H92" s="3">
        <f t="shared" si="13"/>
        <v>69</v>
      </c>
      <c r="I92" s="3">
        <f t="shared" si="13"/>
        <v>70</v>
      </c>
      <c r="J92" s="3">
        <f t="shared" si="13"/>
        <v>71</v>
      </c>
      <c r="K92" s="3">
        <f t="shared" si="13"/>
        <v>72</v>
      </c>
      <c r="L92" s="3">
        <f t="shared" si="13"/>
        <v>73</v>
      </c>
      <c r="M92" s="3">
        <f t="shared" si="13"/>
        <v>74</v>
      </c>
    </row>
    <row r="93" spans="2:13" x14ac:dyDescent="0.25">
      <c r="B93" t="s">
        <v>20</v>
      </c>
      <c r="D93" s="3">
        <f>C80</f>
        <v>62</v>
      </c>
      <c r="E93" s="3">
        <f>D93+1</f>
        <v>63</v>
      </c>
      <c r="F93" s="3">
        <f t="shared" si="13"/>
        <v>64</v>
      </c>
      <c r="G93" s="3">
        <f t="shared" si="13"/>
        <v>65</v>
      </c>
      <c r="H93" s="3">
        <f t="shared" si="13"/>
        <v>66</v>
      </c>
      <c r="I93" s="3">
        <f t="shared" si="13"/>
        <v>67</v>
      </c>
      <c r="J93" s="3">
        <f t="shared" si="13"/>
        <v>68</v>
      </c>
      <c r="K93" s="3">
        <f t="shared" si="13"/>
        <v>69</v>
      </c>
      <c r="L93" s="3">
        <f t="shared" si="13"/>
        <v>70</v>
      </c>
      <c r="M93" s="3">
        <f t="shared" si="13"/>
        <v>71</v>
      </c>
    </row>
    <row r="94" spans="2:13" x14ac:dyDescent="0.25">
      <c r="M94" s="7"/>
    </row>
    <row r="96" spans="2:13" x14ac:dyDescent="0.25">
      <c r="B96" t="s">
        <v>0</v>
      </c>
      <c r="D96" s="13">
        <v>475000</v>
      </c>
      <c r="E96" s="8">
        <f>D106-D114</f>
        <v>507775</v>
      </c>
      <c r="F96" s="8">
        <f t="shared" ref="F96:M96" si="14">E106-E114</f>
        <v>542811.47499999998</v>
      </c>
      <c r="G96" s="8">
        <f t="shared" si="14"/>
        <v>580265.4667750001</v>
      </c>
      <c r="H96" s="8">
        <f t="shared" si="14"/>
        <v>620303.78398247506</v>
      </c>
      <c r="I96" s="8">
        <f t="shared" si="14"/>
        <v>663104.74507726589</v>
      </c>
      <c r="J96" s="8">
        <f t="shared" si="14"/>
        <v>708858.97248759726</v>
      </c>
      <c r="K96" s="8">
        <f t="shared" si="14"/>
        <v>757770.24158924143</v>
      </c>
      <c r="L96" s="8">
        <f t="shared" si="14"/>
        <v>810056.3882588991</v>
      </c>
      <c r="M96" s="8">
        <f t="shared" si="14"/>
        <v>865950.2790487631</v>
      </c>
    </row>
    <row r="97" spans="2:36" x14ac:dyDescent="0.25">
      <c r="B97" t="s">
        <v>2</v>
      </c>
      <c r="D97" s="9">
        <f>C87</f>
        <v>3.5000000000000003E-2</v>
      </c>
      <c r="E97" s="1">
        <f>D97</f>
        <v>3.5000000000000003E-2</v>
      </c>
      <c r="F97" s="1">
        <f t="shared" ref="F97:M97" si="15">E97</f>
        <v>3.5000000000000003E-2</v>
      </c>
      <c r="G97" s="1">
        <f t="shared" si="15"/>
        <v>3.5000000000000003E-2</v>
      </c>
      <c r="H97" s="1">
        <f t="shared" si="15"/>
        <v>3.5000000000000003E-2</v>
      </c>
      <c r="I97" s="1">
        <f t="shared" si="15"/>
        <v>3.5000000000000003E-2</v>
      </c>
      <c r="J97" s="1">
        <f t="shared" si="15"/>
        <v>3.5000000000000003E-2</v>
      </c>
      <c r="K97" s="1">
        <f t="shared" si="15"/>
        <v>3.5000000000000003E-2</v>
      </c>
      <c r="L97" s="1">
        <f t="shared" si="15"/>
        <v>3.5000000000000003E-2</v>
      </c>
      <c r="M97" s="1">
        <f t="shared" si="15"/>
        <v>3.5000000000000003E-2</v>
      </c>
    </row>
    <row r="98" spans="2:36" x14ac:dyDescent="0.25">
      <c r="B98" t="s">
        <v>1</v>
      </c>
      <c r="D98" s="10">
        <f>D96*D97</f>
        <v>16625</v>
      </c>
      <c r="E98" s="3">
        <f t="shared" ref="E98:M98" si="16">E96*E97</f>
        <v>17772.125</v>
      </c>
      <c r="F98" s="3">
        <f t="shared" si="16"/>
        <v>18998.401625000002</v>
      </c>
      <c r="G98" s="3">
        <f t="shared" si="16"/>
        <v>20309.291337125007</v>
      </c>
      <c r="H98" s="3">
        <f t="shared" si="16"/>
        <v>21710.632439386631</v>
      </c>
      <c r="I98" s="3">
        <f t="shared" si="16"/>
        <v>23208.666077704307</v>
      </c>
      <c r="J98" s="3">
        <f t="shared" si="16"/>
        <v>24810.064037065906</v>
      </c>
      <c r="K98" s="3">
        <f t="shared" si="16"/>
        <v>26521.958455623451</v>
      </c>
      <c r="L98" s="3">
        <f t="shared" si="16"/>
        <v>28351.973589061472</v>
      </c>
      <c r="M98" s="3">
        <f t="shared" si="16"/>
        <v>30308.259766706713</v>
      </c>
    </row>
    <row r="99" spans="2:36" x14ac:dyDescent="0.25">
      <c r="B99" t="s">
        <v>4</v>
      </c>
      <c r="D99" s="9">
        <f>C81</f>
        <v>0</v>
      </c>
      <c r="E99" s="4">
        <f>D99</f>
        <v>0</v>
      </c>
      <c r="F99" s="4">
        <f t="shared" ref="F99:M99" si="17">E99</f>
        <v>0</v>
      </c>
      <c r="G99" s="4">
        <f t="shared" si="17"/>
        <v>0</v>
      </c>
      <c r="H99" s="4">
        <f t="shared" si="17"/>
        <v>0</v>
      </c>
      <c r="I99" s="4">
        <f t="shared" si="17"/>
        <v>0</v>
      </c>
      <c r="J99" s="4">
        <f t="shared" si="17"/>
        <v>0</v>
      </c>
      <c r="K99" s="4">
        <f t="shared" si="17"/>
        <v>0</v>
      </c>
      <c r="L99" s="4">
        <f t="shared" si="17"/>
        <v>0</v>
      </c>
      <c r="M99" s="4">
        <f t="shared" si="17"/>
        <v>0</v>
      </c>
    </row>
    <row r="100" spans="2:36" x14ac:dyDescent="0.25">
      <c r="B100" t="s">
        <v>5</v>
      </c>
      <c r="D100" s="10">
        <f>IF((D98*D99)&lt;0,0,(D98*D99))</f>
        <v>0</v>
      </c>
      <c r="E100" s="10">
        <f t="shared" ref="E100:M100" si="18">IF((E98*E99)&lt;0,0,(E98*E99))</f>
        <v>0</v>
      </c>
      <c r="F100" s="10">
        <f t="shared" si="18"/>
        <v>0</v>
      </c>
      <c r="G100" s="10">
        <f t="shared" si="18"/>
        <v>0</v>
      </c>
      <c r="H100" s="10">
        <f t="shared" si="18"/>
        <v>0</v>
      </c>
      <c r="I100" s="10">
        <f t="shared" si="18"/>
        <v>0</v>
      </c>
      <c r="J100" s="10">
        <f t="shared" si="18"/>
        <v>0</v>
      </c>
      <c r="K100" s="10">
        <f t="shared" si="18"/>
        <v>0</v>
      </c>
      <c r="L100" s="10">
        <f t="shared" si="18"/>
        <v>0</v>
      </c>
      <c r="M100" s="10">
        <f t="shared" si="18"/>
        <v>0</v>
      </c>
      <c r="AI100" s="3">
        <f>SUM(D100:N100)</f>
        <v>0</v>
      </c>
    </row>
    <row r="101" spans="2:36" x14ac:dyDescent="0.25">
      <c r="B101" t="s">
        <v>6</v>
      </c>
      <c r="D101" s="10">
        <f>IF((D98-D100)&lt;0,0,(D98-D100))</f>
        <v>16625</v>
      </c>
      <c r="E101" s="10">
        <f t="shared" ref="E101:M101" si="19">IF((E98-E100)&lt;0,0,(E98-E100))</f>
        <v>17772.125</v>
      </c>
      <c r="F101" s="10">
        <f t="shared" si="19"/>
        <v>18998.401625000002</v>
      </c>
      <c r="G101" s="10">
        <f t="shared" si="19"/>
        <v>20309.291337125007</v>
      </c>
      <c r="H101" s="10">
        <f t="shared" si="19"/>
        <v>21710.632439386631</v>
      </c>
      <c r="I101" s="10">
        <f t="shared" si="19"/>
        <v>23208.666077704307</v>
      </c>
      <c r="J101" s="10">
        <f t="shared" si="19"/>
        <v>24810.064037065906</v>
      </c>
      <c r="K101" s="10">
        <f t="shared" si="19"/>
        <v>26521.958455623451</v>
      </c>
      <c r="L101" s="10">
        <f t="shared" si="19"/>
        <v>28351.973589061472</v>
      </c>
      <c r="M101" s="10">
        <f t="shared" si="19"/>
        <v>30308.259766706713</v>
      </c>
      <c r="AI101" s="3">
        <f>SUM(D101:N101)</f>
        <v>228616.37232767345</v>
      </c>
    </row>
    <row r="102" spans="2:36" x14ac:dyDescent="0.25">
      <c r="D102" s="11"/>
      <c r="AI102" s="3"/>
    </row>
    <row r="103" spans="2:36" x14ac:dyDescent="0.25">
      <c r="B103" t="s">
        <v>7</v>
      </c>
      <c r="D103" s="9">
        <f>C88</f>
        <v>4.4999999999999998E-2</v>
      </c>
      <c r="E103" s="1">
        <f>D103</f>
        <v>4.4999999999999998E-2</v>
      </c>
      <c r="F103" s="1">
        <f t="shared" ref="F103:M103" si="20">E103</f>
        <v>4.4999999999999998E-2</v>
      </c>
      <c r="G103" s="1">
        <f t="shared" si="20"/>
        <v>4.4999999999999998E-2</v>
      </c>
      <c r="H103" s="1">
        <f t="shared" si="20"/>
        <v>4.4999999999999998E-2</v>
      </c>
      <c r="I103" s="1">
        <f t="shared" si="20"/>
        <v>4.4999999999999998E-2</v>
      </c>
      <c r="J103" s="1">
        <f t="shared" si="20"/>
        <v>4.4999999999999998E-2</v>
      </c>
      <c r="K103" s="1">
        <f t="shared" si="20"/>
        <v>4.4999999999999998E-2</v>
      </c>
      <c r="L103" s="1">
        <f t="shared" si="20"/>
        <v>4.4999999999999998E-2</v>
      </c>
      <c r="M103" s="1">
        <f t="shared" si="20"/>
        <v>4.4999999999999998E-2</v>
      </c>
    </row>
    <row r="104" spans="2:36" x14ac:dyDescent="0.25">
      <c r="B104" t="s">
        <v>8</v>
      </c>
      <c r="D104" s="10">
        <f>IF((D103*D96)&lt;0,0,(D103*D96))</f>
        <v>21375</v>
      </c>
      <c r="E104" s="10">
        <f t="shared" ref="E104:M104" si="21">IF((E103*E96)&lt;0,0,(E103*E96))</f>
        <v>22849.875</v>
      </c>
      <c r="F104" s="10">
        <f t="shared" si="21"/>
        <v>24426.516374999999</v>
      </c>
      <c r="G104" s="10">
        <f t="shared" si="21"/>
        <v>26111.946004875004</v>
      </c>
      <c r="H104" s="10">
        <f t="shared" si="21"/>
        <v>27913.670279211376</v>
      </c>
      <c r="I104" s="10">
        <f t="shared" si="21"/>
        <v>29839.713528476965</v>
      </c>
      <c r="J104" s="10">
        <f t="shared" si="21"/>
        <v>31898.653761941874</v>
      </c>
      <c r="K104" s="10">
        <f t="shared" si="21"/>
        <v>34099.660871515865</v>
      </c>
      <c r="L104" s="10">
        <f t="shared" si="21"/>
        <v>36452.537471650459</v>
      </c>
      <c r="M104" s="10">
        <f t="shared" si="21"/>
        <v>38967.762557194335</v>
      </c>
      <c r="AI104" s="3">
        <f>SUM(D104:M104)</f>
        <v>293935.33584986592</v>
      </c>
    </row>
    <row r="105" spans="2:36" x14ac:dyDescent="0.25">
      <c r="D105" s="11"/>
    </row>
    <row r="106" spans="2:36" x14ac:dyDescent="0.25">
      <c r="B106" t="s">
        <v>9</v>
      </c>
      <c r="D106" s="10">
        <f>D96+D101+D104</f>
        <v>513000</v>
      </c>
      <c r="E106" s="3">
        <f t="shared" ref="E106:M106" si="22">E96+E101+E104</f>
        <v>548397</v>
      </c>
      <c r="F106" s="3">
        <f t="shared" si="22"/>
        <v>586236.39300000004</v>
      </c>
      <c r="G106" s="3">
        <f t="shared" si="22"/>
        <v>626686.7041170001</v>
      </c>
      <c r="H106" s="3">
        <f t="shared" si="22"/>
        <v>669928.0867010731</v>
      </c>
      <c r="I106" s="3">
        <f t="shared" si="22"/>
        <v>716153.12468344718</v>
      </c>
      <c r="J106" s="3">
        <f t="shared" si="22"/>
        <v>765567.69028660504</v>
      </c>
      <c r="K106" s="3">
        <f t="shared" si="22"/>
        <v>818391.86091638077</v>
      </c>
      <c r="L106" s="3">
        <f t="shared" si="22"/>
        <v>874860.89931961102</v>
      </c>
      <c r="M106" s="3">
        <f t="shared" si="22"/>
        <v>935226.30137266417</v>
      </c>
    </row>
    <row r="107" spans="2:36" x14ac:dyDescent="0.25">
      <c r="D107" s="11"/>
    </row>
    <row r="108" spans="2:36" x14ac:dyDescent="0.25">
      <c r="B108" t="s">
        <v>16</v>
      </c>
      <c r="D108" s="6">
        <v>0</v>
      </c>
      <c r="E108" s="2">
        <f>D108*(1+D109)</f>
        <v>0</v>
      </c>
      <c r="F108" s="2">
        <f t="shared" ref="F108:M108" si="23">E108*(1+E109)</f>
        <v>0</v>
      </c>
      <c r="G108" s="2">
        <f t="shared" si="23"/>
        <v>0</v>
      </c>
      <c r="H108" s="2">
        <f t="shared" si="23"/>
        <v>0</v>
      </c>
      <c r="I108" s="2">
        <f t="shared" si="23"/>
        <v>0</v>
      </c>
      <c r="J108" s="2">
        <f t="shared" si="23"/>
        <v>0</v>
      </c>
      <c r="K108" s="2">
        <f t="shared" si="23"/>
        <v>0</v>
      </c>
      <c r="L108" s="2">
        <f t="shared" si="23"/>
        <v>0</v>
      </c>
      <c r="M108" s="2">
        <f t="shared" si="23"/>
        <v>0</v>
      </c>
    </row>
    <row r="109" spans="2:36" x14ac:dyDescent="0.25">
      <c r="B109" t="s">
        <v>11</v>
      </c>
      <c r="D109" s="9">
        <f>C83</f>
        <v>0.03</v>
      </c>
      <c r="E109" s="1">
        <f>D109</f>
        <v>0.03</v>
      </c>
      <c r="F109" s="1">
        <f t="shared" ref="F109:M109" si="24">E109</f>
        <v>0.03</v>
      </c>
      <c r="G109" s="1">
        <f t="shared" si="24"/>
        <v>0.03</v>
      </c>
      <c r="H109" s="1">
        <f t="shared" si="24"/>
        <v>0.03</v>
      </c>
      <c r="I109" s="1">
        <f t="shared" si="24"/>
        <v>0.03</v>
      </c>
      <c r="J109" s="1">
        <f t="shared" si="24"/>
        <v>0.03</v>
      </c>
      <c r="K109" s="1">
        <f t="shared" si="24"/>
        <v>0.03</v>
      </c>
      <c r="L109" s="1">
        <f t="shared" si="24"/>
        <v>0.03</v>
      </c>
      <c r="M109" s="1">
        <f t="shared" si="24"/>
        <v>0.03</v>
      </c>
    </row>
    <row r="110" spans="2:36" x14ac:dyDescent="0.25">
      <c r="B110" s="11"/>
      <c r="C110" s="11"/>
      <c r="D110" s="9"/>
      <c r="E110" s="1"/>
      <c r="F110" s="1"/>
      <c r="G110" s="1"/>
      <c r="H110" s="1"/>
      <c r="I110" s="1"/>
      <c r="J110" s="1"/>
      <c r="K110" s="1"/>
      <c r="L110" s="1"/>
      <c r="M110" s="1"/>
    </row>
    <row r="111" spans="2:36" x14ac:dyDescent="0.25">
      <c r="B111" s="11" t="s">
        <v>14</v>
      </c>
      <c r="C111" s="11"/>
      <c r="D111" s="9">
        <f>C82</f>
        <v>1.0999999999999999E-2</v>
      </c>
      <c r="E111" s="1">
        <f>D111</f>
        <v>1.0999999999999999E-2</v>
      </c>
      <c r="F111" s="1">
        <f t="shared" ref="F111:M111" si="25">E111</f>
        <v>1.0999999999999999E-2</v>
      </c>
      <c r="G111" s="1">
        <f t="shared" si="25"/>
        <v>1.0999999999999999E-2</v>
      </c>
      <c r="H111" s="1">
        <f t="shared" si="25"/>
        <v>1.0999999999999999E-2</v>
      </c>
      <c r="I111" s="1">
        <f t="shared" si="25"/>
        <v>1.0999999999999999E-2</v>
      </c>
      <c r="J111" s="1">
        <f t="shared" si="25"/>
        <v>1.0999999999999999E-2</v>
      </c>
      <c r="K111" s="1">
        <f t="shared" si="25"/>
        <v>1.0999999999999999E-2</v>
      </c>
      <c r="L111" s="1">
        <f t="shared" si="25"/>
        <v>1.0999999999999999E-2</v>
      </c>
      <c r="M111" s="1">
        <f t="shared" si="25"/>
        <v>1.0999999999999999E-2</v>
      </c>
    </row>
    <row r="112" spans="2:36" x14ac:dyDescent="0.25">
      <c r="B112" s="11" t="s">
        <v>15</v>
      </c>
      <c r="D112" s="2">
        <f>IF((D111*D96)&lt;0,0,(D111*D96))</f>
        <v>5225</v>
      </c>
      <c r="E112" s="2">
        <f t="shared" ref="E112:M112" si="26">IF((E111*E96)&lt;0,0,(E111*E96))</f>
        <v>5585.5249999999996</v>
      </c>
      <c r="F112" s="2">
        <f t="shared" si="26"/>
        <v>5970.9262249999992</v>
      </c>
      <c r="G112" s="2">
        <f t="shared" si="26"/>
        <v>6382.9201345250003</v>
      </c>
      <c r="H112" s="2">
        <f t="shared" si="26"/>
        <v>6823.341623807225</v>
      </c>
      <c r="I112" s="2">
        <f t="shared" si="26"/>
        <v>7294.1521958499243</v>
      </c>
      <c r="J112" s="2">
        <f t="shared" si="26"/>
        <v>7797.4486973635694</v>
      </c>
      <c r="K112" s="2">
        <f t="shared" si="26"/>
        <v>8335.4726574816559</v>
      </c>
      <c r="L112" s="2">
        <f t="shared" si="26"/>
        <v>8910.6202708478904</v>
      </c>
      <c r="M112" s="2">
        <f t="shared" si="26"/>
        <v>9525.4530695363937</v>
      </c>
      <c r="AI112" s="3">
        <f>SUM(D112:N112)</f>
        <v>71850.859874411661</v>
      </c>
      <c r="AJ112" s="4">
        <f>AI112/AI114</f>
        <v>1</v>
      </c>
    </row>
    <row r="113" spans="2:35" x14ac:dyDescent="0.25">
      <c r="B113" s="11"/>
    </row>
    <row r="114" spans="2:35" x14ac:dyDescent="0.25">
      <c r="B114" t="s">
        <v>17</v>
      </c>
      <c r="D114" s="3">
        <f>IF(D91&lt;=$C$5,(D108+D112),0)</f>
        <v>5225</v>
      </c>
      <c r="E114" s="3">
        <f t="shared" ref="E114:M114" si="27">IF(E91&lt;=$C$5,(E108+E112),0)</f>
        <v>5585.5249999999996</v>
      </c>
      <c r="F114" s="3">
        <f t="shared" si="27"/>
        <v>5970.9262249999992</v>
      </c>
      <c r="G114" s="3">
        <f t="shared" si="27"/>
        <v>6382.9201345250003</v>
      </c>
      <c r="H114" s="3">
        <f t="shared" si="27"/>
        <v>6823.341623807225</v>
      </c>
      <c r="I114" s="3">
        <f t="shared" si="27"/>
        <v>7294.1521958499243</v>
      </c>
      <c r="J114" s="3">
        <f t="shared" si="27"/>
        <v>7797.4486973635694</v>
      </c>
      <c r="K114" s="3">
        <f t="shared" si="27"/>
        <v>8335.4726574816559</v>
      </c>
      <c r="L114" s="3">
        <f t="shared" si="27"/>
        <v>8910.6202708478904</v>
      </c>
      <c r="M114" s="3">
        <f t="shared" si="27"/>
        <v>9525.4530695363937</v>
      </c>
      <c r="AI114" s="3">
        <f>SUM(D114:N114)</f>
        <v>71850.859874411661</v>
      </c>
    </row>
    <row r="115" spans="2:35" x14ac:dyDescent="0.25">
      <c r="B115" s="11"/>
    </row>
    <row r="116" spans="2:35" x14ac:dyDescent="0.25">
      <c r="B116" t="s">
        <v>10</v>
      </c>
      <c r="D116" s="3">
        <f>D106-D108</f>
        <v>513000</v>
      </c>
      <c r="E116" s="3">
        <f>E106-E108</f>
        <v>548397</v>
      </c>
      <c r="F116" s="3">
        <f>F106-F108</f>
        <v>586236.39300000004</v>
      </c>
      <c r="G116" s="3">
        <f>G106-G108</f>
        <v>626686.7041170001</v>
      </c>
      <c r="H116" s="3">
        <f>H106-H108</f>
        <v>669928.0867010731</v>
      </c>
      <c r="I116" s="3">
        <f>I106-I108</f>
        <v>716153.12468344718</v>
      </c>
      <c r="J116" s="3">
        <f>J106-J108</f>
        <v>765567.69028660504</v>
      </c>
      <c r="K116" s="3">
        <f>K106-K108</f>
        <v>818391.86091638077</v>
      </c>
      <c r="L116" s="3">
        <f>L106-L108</f>
        <v>874860.89931961102</v>
      </c>
      <c r="M116" s="3">
        <f>M106-M108</f>
        <v>935226.30137266417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0549-18ED-429D-AB06-3A5A28BE8A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63E9-67FD-497C-B105-8B65AF46EA1A}">
  <dimension ref="A1"/>
  <sheetViews>
    <sheetView workbookViewId="0">
      <selection activeCell="O31" sqref="O31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5EFC-A00D-40E5-9268-D63F18354E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Portflio Assuptions</vt:lpstr>
      <vt:lpstr>Income - Stage 1</vt:lpstr>
      <vt:lpstr>Income - Stage 2</vt:lpstr>
      <vt:lpstr>Income - Stage 3</vt:lpstr>
      <vt:lpstr>Car - P1</vt:lpstr>
      <vt:lpstr>Car P2</vt:lpstr>
      <vt:lpstr>Carvan</vt:lpstr>
      <vt:lpstr>Boat</vt:lpstr>
      <vt:lpstr>Domestic Holidays</vt:lpstr>
      <vt:lpstr>International Holidays</vt:lpstr>
      <vt:lpstr>Travel to see Parents overseas</vt:lpstr>
      <vt:lpstr>Travel to see others</vt:lpstr>
      <vt:lpstr>Medical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Beresford</dc:creator>
  <cp:lastModifiedBy>James Beresford</cp:lastModifiedBy>
  <dcterms:created xsi:type="dcterms:W3CDTF">2026-01-31T22:44:11Z</dcterms:created>
  <dcterms:modified xsi:type="dcterms:W3CDTF">2026-02-01T01:41:48Z</dcterms:modified>
</cp:coreProperties>
</file>